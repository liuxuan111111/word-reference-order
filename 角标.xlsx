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7505\Desktop\"/>
    </mc:Choice>
  </mc:AlternateContent>
  <xr:revisionPtr revIDLastSave="0" documentId="13_ncr:1_{EECBA458-2298-42E7-8A29-D85D348560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3" i="2" s="1"/>
  <c r="A3" i="2" s="1"/>
  <c r="A2" i="2" l="1"/>
  <c r="C4" i="2"/>
  <c r="A4" i="2" s="1"/>
  <c r="C15" i="2"/>
  <c r="A15" i="2" s="1"/>
  <c r="C5" i="2" l="1"/>
  <c r="A5" i="2" s="1"/>
  <c r="C6" i="2" l="1"/>
  <c r="A6" i="2" s="1"/>
  <c r="C7" i="2" l="1"/>
  <c r="A7" i="2" s="1"/>
  <c r="C8" i="2" l="1"/>
  <c r="A8" i="2" s="1"/>
  <c r="C12" i="2"/>
  <c r="A12" i="2" s="1"/>
  <c r="C10" i="2"/>
  <c r="A10" i="2" s="1"/>
  <c r="C9" i="2" l="1"/>
  <c r="A9" i="2" s="1"/>
  <c r="C11" i="2" l="1"/>
  <c r="C14" i="2"/>
  <c r="A14" i="2" s="1"/>
  <c r="C13" i="2" l="1"/>
  <c r="A13" i="2" s="1"/>
  <c r="A11" i="2"/>
  <c r="C133" i="2"/>
  <c r="A133" i="2" s="1"/>
  <c r="C18" i="2"/>
  <c r="A18" i="2" s="1"/>
  <c r="C17" i="2"/>
  <c r="A17" i="2" s="1"/>
  <c r="C16" i="2"/>
  <c r="A16" i="2" s="1"/>
  <c r="C19" i="2" l="1"/>
  <c r="A19" i="2" s="1"/>
  <c r="C22" i="2"/>
  <c r="A22" i="2" s="1"/>
  <c r="C20" i="2" l="1"/>
  <c r="A20" i="2" s="1"/>
  <c r="C21" i="2" l="1"/>
  <c r="A21" i="2" s="1"/>
  <c r="C89" i="2"/>
  <c r="A89" i="2" s="1"/>
  <c r="C100" i="2"/>
  <c r="A100" i="2" s="1"/>
  <c r="C97" i="2"/>
  <c r="A97" i="2" s="1"/>
  <c r="C23" i="2"/>
  <c r="A23" i="2" s="1"/>
  <c r="C24" i="2" l="1"/>
  <c r="A24" i="2" s="1"/>
  <c r="C25" i="2" l="1"/>
  <c r="A25" i="2" s="1"/>
  <c r="C91" i="2"/>
  <c r="A91" i="2" s="1"/>
  <c r="C90" i="2"/>
  <c r="A90" i="2" s="1"/>
  <c r="C95" i="2"/>
  <c r="A95" i="2" s="1"/>
  <c r="C26" i="2"/>
  <c r="A26" i="2" s="1"/>
  <c r="C27" i="2" l="1"/>
  <c r="A27" i="2" s="1"/>
  <c r="C28" i="2" l="1"/>
  <c r="A28" i="2" s="1"/>
  <c r="C29" i="2" l="1"/>
  <c r="A29" i="2" s="1"/>
  <c r="C31" i="2" l="1"/>
  <c r="A31" i="2" s="1"/>
  <c r="C30" i="2"/>
  <c r="A30" i="2" s="1"/>
  <c r="C32" i="2"/>
  <c r="A32" i="2" s="1"/>
  <c r="C33" i="2" l="1"/>
  <c r="A33" i="2" s="1"/>
  <c r="C36" i="2" l="1"/>
  <c r="A36" i="2" s="1"/>
  <c r="C34" i="2"/>
  <c r="A34" i="2" s="1"/>
  <c r="C41" i="2" l="1"/>
  <c r="A41" i="2" s="1"/>
  <c r="C35" i="2"/>
  <c r="A35" i="2" s="1"/>
  <c r="C42" i="2" l="1"/>
  <c r="A42" i="2" s="1"/>
  <c r="C47" i="2"/>
  <c r="A47" i="2" s="1"/>
  <c r="C43" i="2"/>
  <c r="A43" i="2" s="1"/>
  <c r="C44" i="2"/>
  <c r="A44" i="2" s="1"/>
  <c r="C37" i="2"/>
  <c r="A37" i="2" s="1"/>
  <c r="C38" i="2" l="1"/>
  <c r="A38" i="2" s="1"/>
  <c r="C45" i="2"/>
  <c r="A45" i="2" s="1"/>
  <c r="C39" i="2" l="1"/>
  <c r="A39" i="2" s="1"/>
  <c r="C40" i="2" l="1"/>
  <c r="A40" i="2" s="1"/>
  <c r="C125" i="2"/>
  <c r="A125" i="2" s="1"/>
  <c r="C46" i="2" l="1"/>
  <c r="A46" i="2" s="1"/>
  <c r="C48" i="2"/>
  <c r="A48" i="2" s="1"/>
  <c r="C49" i="2" l="1"/>
  <c r="A49" i="2" s="1"/>
  <c r="C50" i="2" l="1"/>
  <c r="A50" i="2" s="1"/>
  <c r="C51" i="2" l="1"/>
  <c r="A51" i="2" s="1"/>
  <c r="C52" i="2" l="1"/>
  <c r="A52" i="2" s="1"/>
  <c r="C53" i="2" l="1"/>
  <c r="A53" i="2" s="1"/>
  <c r="C54" i="2" l="1"/>
  <c r="A54" i="2" s="1"/>
  <c r="C55" i="2" l="1"/>
  <c r="A55" i="2" s="1"/>
  <c r="C56" i="2" l="1"/>
  <c r="A56" i="2" s="1"/>
  <c r="C57" i="2" l="1"/>
  <c r="A57" i="2" s="1"/>
  <c r="C58" i="2"/>
  <c r="A58" i="2" s="1"/>
  <c r="C59" i="2" l="1"/>
  <c r="A59" i="2" s="1"/>
  <c r="C60" i="2" l="1"/>
  <c r="A60" i="2" s="1"/>
  <c r="C61" i="2" l="1"/>
  <c r="A61" i="2" s="1"/>
  <c r="C62" i="2" l="1"/>
  <c r="A62" i="2" s="1"/>
  <c r="C63" i="2" l="1"/>
  <c r="A63" i="2" s="1"/>
  <c r="C64" i="2" l="1"/>
  <c r="A64" i="2" s="1"/>
  <c r="C65" i="2" l="1"/>
  <c r="A65" i="2" s="1"/>
  <c r="C66" i="2" l="1"/>
  <c r="A66" i="2" s="1"/>
  <c r="C67" i="2" l="1"/>
  <c r="A67" i="2" s="1"/>
  <c r="C68" i="2" l="1"/>
  <c r="A68" i="2" s="1"/>
  <c r="C69" i="2" l="1"/>
  <c r="A69" i="2" s="1"/>
  <c r="C70" i="2" l="1"/>
  <c r="A70" i="2" s="1"/>
  <c r="C71" i="2" l="1"/>
  <c r="A71" i="2" s="1"/>
  <c r="C72" i="2" l="1"/>
  <c r="A72" i="2" s="1"/>
  <c r="C73" i="2" l="1"/>
  <c r="A73" i="2" s="1"/>
  <c r="C74" i="2" l="1"/>
  <c r="A74" i="2" s="1"/>
  <c r="C75" i="2" l="1"/>
  <c r="A75" i="2" s="1"/>
  <c r="C76" i="2" l="1"/>
  <c r="A76" i="2" s="1"/>
  <c r="C77" i="2" l="1"/>
  <c r="A77" i="2" s="1"/>
  <c r="C78" i="2" l="1"/>
  <c r="A78" i="2" s="1"/>
  <c r="C79" i="2" l="1"/>
  <c r="A79" i="2" s="1"/>
  <c r="C111" i="2" l="1"/>
  <c r="A111" i="2" s="1"/>
  <c r="C80" i="2"/>
  <c r="A80" i="2" s="1"/>
  <c r="C81" i="2" l="1"/>
  <c r="A81" i="2" s="1"/>
  <c r="C82" i="2" l="1"/>
  <c r="A82" i="2" s="1"/>
  <c r="C83" i="2" l="1"/>
  <c r="A83" i="2" s="1"/>
  <c r="C84" i="2" l="1"/>
  <c r="A84" i="2" s="1"/>
  <c r="C85" i="2" l="1"/>
  <c r="A85" i="2" s="1"/>
  <c r="C86" i="2" l="1"/>
  <c r="A86" i="2" s="1"/>
  <c r="C87" i="2" l="1"/>
  <c r="A87" i="2" s="1"/>
  <c r="C88" i="2" l="1"/>
  <c r="A88" i="2" s="1"/>
  <c r="C92" i="2" l="1"/>
  <c r="A92" i="2" s="1"/>
  <c r="C132" i="2" l="1"/>
  <c r="A132" i="2" s="1"/>
  <c r="C93" i="2"/>
  <c r="A93" i="2" s="1"/>
  <c r="C94" i="2" l="1"/>
  <c r="A94" i="2" s="1"/>
  <c r="C96" i="2" l="1"/>
  <c r="A96" i="2" s="1"/>
  <c r="C98" i="2" l="1"/>
  <c r="A98" i="2" s="1"/>
  <c r="C99" i="2" l="1"/>
  <c r="A99" i="2" s="1"/>
  <c r="C101" i="2" l="1"/>
  <c r="A101" i="2" s="1"/>
  <c r="C102" i="2" l="1"/>
  <c r="A102" i="2" s="1"/>
  <c r="C103" i="2" l="1"/>
  <c r="A103" i="2" s="1"/>
  <c r="C104" i="2" l="1"/>
  <c r="A104" i="2" s="1"/>
  <c r="C105" i="2" l="1"/>
  <c r="A105" i="2" s="1"/>
  <c r="C106" i="2" l="1"/>
  <c r="A106" i="2" s="1"/>
  <c r="C107" i="2" l="1"/>
  <c r="A107" i="2" s="1"/>
  <c r="C108" i="2" l="1"/>
  <c r="A108" i="2" s="1"/>
  <c r="C109" i="2" l="1"/>
  <c r="A109" i="2" s="1"/>
  <c r="C110" i="2" l="1"/>
  <c r="A110" i="2" s="1"/>
  <c r="C112" i="2" l="1"/>
  <c r="A112" i="2" s="1"/>
  <c r="C113" i="2" l="1"/>
  <c r="A113" i="2" s="1"/>
  <c r="C114" i="2" l="1"/>
  <c r="A114" i="2" s="1"/>
  <c r="C115" i="2" l="1"/>
  <c r="A115" i="2" s="1"/>
  <c r="C116" i="2" l="1"/>
  <c r="A116" i="2" s="1"/>
  <c r="C117" i="2" l="1"/>
  <c r="A117" i="2" s="1"/>
  <c r="C118" i="2" l="1"/>
  <c r="A118" i="2" s="1"/>
  <c r="C119" i="2" l="1"/>
  <c r="A119" i="2" s="1"/>
  <c r="C120" i="2" l="1"/>
  <c r="A120" i="2" s="1"/>
  <c r="C121" i="2" l="1"/>
  <c r="A121" i="2" s="1"/>
  <c r="C122" i="2" l="1"/>
  <c r="A122" i="2" s="1"/>
  <c r="C123" i="2" l="1"/>
  <c r="A123" i="2" s="1"/>
  <c r="C124" i="2" l="1"/>
  <c r="A124" i="2" s="1"/>
  <c r="C126" i="2" l="1"/>
  <c r="A126" i="2" s="1"/>
  <c r="C127" i="2" l="1"/>
  <c r="A127" i="2" s="1"/>
  <c r="C128" i="2" l="1"/>
  <c r="A128" i="2" s="1"/>
  <c r="C129" i="2" l="1"/>
  <c r="A129" i="2" s="1"/>
  <c r="C130" i="2" l="1"/>
  <c r="A130" i="2" s="1"/>
  <c r="C131" i="2" l="1"/>
  <c r="A131" i="2" s="1"/>
</calcChain>
</file>

<file path=xl/sharedStrings.xml><?xml version="1.0" encoding="utf-8"?>
<sst xmlns="http://schemas.openxmlformats.org/spreadsheetml/2006/main" count="564" uniqueCount="201">
  <si>
    <t>3.1.1</t>
  </si>
  <si>
    <t>3.1.2</t>
  </si>
  <si>
    <t>3.2.1</t>
  </si>
  <si>
    <t>3.2.2</t>
  </si>
  <si>
    <t>3.2.3</t>
  </si>
  <si>
    <t>3.2.4</t>
  </si>
  <si>
    <t>3.2.5</t>
  </si>
  <si>
    <t>3.3.1.2</t>
  </si>
  <si>
    <t>3.3.2.1</t>
  </si>
  <si>
    <t>3.3.2.2</t>
  </si>
  <si>
    <t>3.3.3.1</t>
  </si>
  <si>
    <t>3.3.3.2</t>
  </si>
  <si>
    <t>3.3.4.1</t>
  </si>
  <si>
    <t>3.3.4.2</t>
  </si>
  <si>
    <t>3.4.1.1</t>
  </si>
  <si>
    <t>3.4.1.2</t>
  </si>
  <si>
    <t>3.4.1.3</t>
  </si>
  <si>
    <t>3.4.2.1</t>
  </si>
  <si>
    <t>3.4.2.2</t>
  </si>
  <si>
    <t>3.4.2.3</t>
  </si>
  <si>
    <t>3.4.2.4</t>
  </si>
  <si>
    <t>3.5.1.1</t>
  </si>
  <si>
    <t>3.5.1.2</t>
  </si>
  <si>
    <t>3.5.1.3</t>
  </si>
  <si>
    <t>3.5.1.4</t>
  </si>
  <si>
    <t>3.5.1.5</t>
  </si>
  <si>
    <t>3.5.2.2</t>
  </si>
  <si>
    <t>3.5.2.3</t>
  </si>
  <si>
    <t>3.5.2.4</t>
  </si>
  <si>
    <t>3.6.2</t>
  </si>
  <si>
    <t>所在页码</t>
  </si>
  <si>
    <t>[1]</t>
  </si>
  <si>
    <r>
      <t>第</t>
    </r>
    <r>
      <rPr>
        <sz val="11"/>
        <color theme="1"/>
        <rFont val="Times New Roman"/>
        <family val="1"/>
      </rPr>
      <t xml:space="preserve"> 12 </t>
    </r>
    <r>
      <rPr>
        <sz val="11"/>
        <color theme="1"/>
        <rFont val="宋体"/>
        <family val="3"/>
        <charset val="134"/>
      </rPr>
      <t>页</t>
    </r>
  </si>
  <si>
    <t>[2]</t>
  </si>
  <si>
    <t>[3]</t>
  </si>
  <si>
    <t>[4]</t>
  </si>
  <si>
    <t>[5]</t>
  </si>
  <si>
    <t>[8]</t>
  </si>
  <si>
    <r>
      <t>第</t>
    </r>
    <r>
      <rPr>
        <sz val="11"/>
        <color theme="1"/>
        <rFont val="Times New Roman"/>
        <family val="1"/>
      </rPr>
      <t xml:space="preserve"> 13 </t>
    </r>
    <r>
      <rPr>
        <sz val="11"/>
        <color theme="1"/>
        <rFont val="宋体"/>
        <family val="3"/>
        <charset val="134"/>
      </rPr>
      <t>页</t>
    </r>
  </si>
  <si>
    <t>[6]</t>
  </si>
  <si>
    <t>[7]</t>
  </si>
  <si>
    <r>
      <t>第</t>
    </r>
    <r>
      <rPr>
        <sz val="11"/>
        <color theme="1"/>
        <rFont val="Times New Roman"/>
        <family val="1"/>
      </rPr>
      <t xml:space="preserve"> 14 </t>
    </r>
    <r>
      <rPr>
        <sz val="11"/>
        <color theme="1"/>
        <rFont val="宋体"/>
        <family val="3"/>
        <charset val="134"/>
      </rPr>
      <t>页</t>
    </r>
  </si>
  <si>
    <t>[9]</t>
  </si>
  <si>
    <r>
      <t>第</t>
    </r>
    <r>
      <rPr>
        <sz val="11"/>
        <color theme="1"/>
        <rFont val="Times New Roman"/>
        <family val="1"/>
      </rPr>
      <t xml:space="preserve"> 15 </t>
    </r>
    <r>
      <rPr>
        <sz val="11"/>
        <color theme="1"/>
        <rFont val="宋体"/>
        <family val="3"/>
        <charset val="134"/>
      </rPr>
      <t>页</t>
    </r>
  </si>
  <si>
    <t>[11]</t>
  </si>
  <si>
    <r>
      <t>第</t>
    </r>
    <r>
      <rPr>
        <sz val="11"/>
        <color theme="1"/>
        <rFont val="Times New Roman"/>
        <family val="1"/>
      </rPr>
      <t xml:space="preserve"> 16 </t>
    </r>
    <r>
      <rPr>
        <sz val="11"/>
        <color theme="1"/>
        <rFont val="宋体"/>
        <family val="3"/>
        <charset val="134"/>
      </rPr>
      <t>页</t>
    </r>
  </si>
  <si>
    <t>[10]</t>
  </si>
  <si>
    <r>
      <t>第</t>
    </r>
    <r>
      <rPr>
        <sz val="11"/>
        <color theme="1"/>
        <rFont val="Times New Roman"/>
        <family val="1"/>
      </rPr>
      <t xml:space="preserve"> 17 </t>
    </r>
    <r>
      <rPr>
        <sz val="11"/>
        <color theme="1"/>
        <rFont val="宋体"/>
        <family val="3"/>
        <charset val="134"/>
      </rPr>
      <t>页</t>
    </r>
  </si>
  <si>
    <r>
      <t>第</t>
    </r>
    <r>
      <rPr>
        <sz val="11"/>
        <color theme="1"/>
        <rFont val="Times New Roman"/>
        <family val="1"/>
      </rPr>
      <t xml:space="preserve"> 18 </t>
    </r>
    <r>
      <rPr>
        <sz val="11"/>
        <color theme="1"/>
        <rFont val="宋体"/>
        <family val="3"/>
        <charset val="134"/>
      </rPr>
      <t>页</t>
    </r>
  </si>
  <si>
    <r>
      <t>第</t>
    </r>
    <r>
      <rPr>
        <sz val="11"/>
        <color theme="1"/>
        <rFont val="Times New Roman"/>
        <family val="1"/>
      </rPr>
      <t xml:space="preserve"> 20 </t>
    </r>
    <r>
      <rPr>
        <sz val="11"/>
        <color theme="1"/>
        <rFont val="宋体"/>
        <family val="3"/>
        <charset val="134"/>
      </rPr>
      <t>页</t>
    </r>
  </si>
  <si>
    <t>[12]</t>
  </si>
  <si>
    <r>
      <t>第</t>
    </r>
    <r>
      <rPr>
        <sz val="11"/>
        <color theme="1"/>
        <rFont val="Times New Roman"/>
        <family val="1"/>
      </rPr>
      <t xml:space="preserve"> 21 </t>
    </r>
    <r>
      <rPr>
        <sz val="11"/>
        <color theme="1"/>
        <rFont val="宋体"/>
        <family val="3"/>
        <charset val="134"/>
      </rPr>
      <t>页</t>
    </r>
  </si>
  <si>
    <t>[14]</t>
  </si>
  <si>
    <r>
      <t>第</t>
    </r>
    <r>
      <rPr>
        <sz val="11"/>
        <color theme="1"/>
        <rFont val="Times New Roman"/>
        <family val="1"/>
      </rPr>
      <t xml:space="preserve"> 22 </t>
    </r>
    <r>
      <rPr>
        <sz val="11"/>
        <color theme="1"/>
        <rFont val="宋体"/>
        <family val="3"/>
        <charset val="134"/>
      </rPr>
      <t>页</t>
    </r>
  </si>
  <si>
    <r>
      <t>第</t>
    </r>
    <r>
      <rPr>
        <sz val="11"/>
        <color theme="1"/>
        <rFont val="Times New Roman"/>
        <family val="1"/>
      </rPr>
      <t xml:space="preserve"> 23 </t>
    </r>
    <r>
      <rPr>
        <sz val="11"/>
        <color theme="1"/>
        <rFont val="宋体"/>
        <family val="3"/>
        <charset val="134"/>
      </rPr>
      <t>页</t>
    </r>
  </si>
  <si>
    <t>[13]</t>
  </si>
  <si>
    <t>[15]</t>
  </si>
  <si>
    <r>
      <t>第</t>
    </r>
    <r>
      <rPr>
        <sz val="11"/>
        <color theme="1"/>
        <rFont val="Times New Roman"/>
        <family val="1"/>
      </rPr>
      <t xml:space="preserve"> 27 </t>
    </r>
    <r>
      <rPr>
        <sz val="11"/>
        <color theme="1"/>
        <rFont val="宋体"/>
        <family val="3"/>
        <charset val="134"/>
      </rPr>
      <t>页</t>
    </r>
  </si>
  <si>
    <t>[20]</t>
  </si>
  <si>
    <r>
      <t>第</t>
    </r>
    <r>
      <rPr>
        <sz val="11"/>
        <color theme="1"/>
        <rFont val="Times New Roman"/>
        <family val="1"/>
      </rPr>
      <t xml:space="preserve"> 30 </t>
    </r>
    <r>
      <rPr>
        <sz val="11"/>
        <color theme="1"/>
        <rFont val="宋体"/>
        <family val="3"/>
        <charset val="134"/>
      </rPr>
      <t>页</t>
    </r>
  </si>
  <si>
    <t>[21]</t>
  </si>
  <si>
    <t>[34]</t>
  </si>
  <si>
    <r>
      <t>第</t>
    </r>
    <r>
      <rPr>
        <sz val="11"/>
        <color theme="1"/>
        <rFont val="Times New Roman"/>
        <family val="1"/>
      </rPr>
      <t xml:space="preserve"> 33 </t>
    </r>
    <r>
      <rPr>
        <sz val="11"/>
        <color theme="1"/>
        <rFont val="宋体"/>
        <family val="3"/>
        <charset val="134"/>
      </rPr>
      <t>页</t>
    </r>
  </si>
  <si>
    <r>
      <t>第</t>
    </r>
    <r>
      <rPr>
        <sz val="11"/>
        <color theme="1"/>
        <rFont val="Times New Roman"/>
        <family val="1"/>
      </rPr>
      <t xml:space="preserve"> 35 </t>
    </r>
    <r>
      <rPr>
        <sz val="11"/>
        <color theme="1"/>
        <rFont val="宋体"/>
        <family val="3"/>
        <charset val="134"/>
      </rPr>
      <t>页</t>
    </r>
  </si>
  <si>
    <t>[37]</t>
  </si>
  <si>
    <r>
      <t>第</t>
    </r>
    <r>
      <rPr>
        <sz val="11"/>
        <color theme="1"/>
        <rFont val="Times New Roman"/>
        <family val="1"/>
      </rPr>
      <t xml:space="preserve"> 36 </t>
    </r>
    <r>
      <rPr>
        <sz val="11"/>
        <color theme="1"/>
        <rFont val="宋体"/>
        <family val="3"/>
        <charset val="134"/>
      </rPr>
      <t>页</t>
    </r>
  </si>
  <si>
    <t>[35]</t>
  </si>
  <si>
    <r>
      <t>第</t>
    </r>
    <r>
      <rPr>
        <sz val="11"/>
        <color theme="1"/>
        <rFont val="Times New Roman"/>
        <family val="1"/>
      </rPr>
      <t xml:space="preserve"> 37 </t>
    </r>
    <r>
      <rPr>
        <sz val="11"/>
        <color theme="1"/>
        <rFont val="宋体"/>
        <family val="3"/>
        <charset val="134"/>
      </rPr>
      <t>页</t>
    </r>
  </si>
  <si>
    <t>[36]</t>
  </si>
  <si>
    <r>
      <t>第</t>
    </r>
    <r>
      <rPr>
        <sz val="11"/>
        <color theme="1"/>
        <rFont val="Times New Roman"/>
        <family val="1"/>
      </rPr>
      <t xml:space="preserve"> 38 </t>
    </r>
    <r>
      <rPr>
        <sz val="11"/>
        <color theme="1"/>
        <rFont val="宋体"/>
        <family val="3"/>
        <charset val="134"/>
      </rPr>
      <t>页</t>
    </r>
  </si>
  <si>
    <t>[40]</t>
  </si>
  <si>
    <t>[41]</t>
  </si>
  <si>
    <t>[42]</t>
  </si>
  <si>
    <t>[43]</t>
  </si>
  <si>
    <r>
      <t>第</t>
    </r>
    <r>
      <rPr>
        <sz val="11"/>
        <color theme="1"/>
        <rFont val="Times New Roman"/>
        <family val="1"/>
      </rPr>
      <t xml:space="preserve"> 39 </t>
    </r>
    <r>
      <rPr>
        <sz val="11"/>
        <color theme="1"/>
        <rFont val="宋体"/>
        <family val="3"/>
        <charset val="134"/>
      </rPr>
      <t>页</t>
    </r>
  </si>
  <si>
    <r>
      <t>第</t>
    </r>
    <r>
      <rPr>
        <sz val="11"/>
        <color theme="1"/>
        <rFont val="Times New Roman"/>
        <family val="1"/>
      </rPr>
      <t xml:space="preserve"> 40 </t>
    </r>
    <r>
      <rPr>
        <sz val="11"/>
        <color theme="1"/>
        <rFont val="宋体"/>
        <family val="3"/>
        <charset val="134"/>
      </rPr>
      <t>页</t>
    </r>
  </si>
  <si>
    <t>[39]</t>
  </si>
  <si>
    <r>
      <t>第</t>
    </r>
    <r>
      <rPr>
        <sz val="11"/>
        <color theme="1"/>
        <rFont val="Times New Roman"/>
        <family val="1"/>
      </rPr>
      <t xml:space="preserve"> 41 </t>
    </r>
    <r>
      <rPr>
        <sz val="11"/>
        <color theme="1"/>
        <rFont val="宋体"/>
        <family val="3"/>
        <charset val="134"/>
      </rPr>
      <t>页</t>
    </r>
  </si>
  <si>
    <r>
      <t>第</t>
    </r>
    <r>
      <rPr>
        <sz val="11"/>
        <color theme="1"/>
        <rFont val="Times New Roman"/>
        <family val="1"/>
      </rPr>
      <t xml:space="preserve"> 42 </t>
    </r>
    <r>
      <rPr>
        <sz val="11"/>
        <color theme="1"/>
        <rFont val="宋体"/>
        <family val="3"/>
        <charset val="134"/>
      </rPr>
      <t>页</t>
    </r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</si>
  <si>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</si>
  <si>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</si>
  <si>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</si>
  <si>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</si>
  <si>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</si>
  <si>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</si>
  <si>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</si>
  <si>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</si>
  <si>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</si>
  <si>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r>
      <t>第</t>
    </r>
    <r>
      <rPr>
        <sz val="11"/>
        <color theme="1"/>
        <rFont val="Times New Roman"/>
        <family val="1"/>
      </rPr>
      <t xml:space="preserve"> 43 </t>
    </r>
    <r>
      <rPr>
        <sz val="11"/>
        <color theme="1"/>
        <rFont val="宋体"/>
        <family val="3"/>
        <charset val="134"/>
      </rPr>
      <t>页</t>
    </r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</si>
  <si>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</si>
  <si>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</si>
  <si>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</si>
  <si>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</si>
  <si>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</si>
  <si>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</si>
  <si>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</si>
  <si>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</si>
  <si>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</si>
  <si>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</si>
  <si>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r>
      <t>第</t>
    </r>
    <r>
      <rPr>
        <sz val="11"/>
        <color theme="1"/>
        <rFont val="Times New Roman"/>
        <family val="1"/>
      </rPr>
      <t xml:space="preserve"> 44 </t>
    </r>
    <r>
      <rPr>
        <sz val="11"/>
        <color theme="1"/>
        <rFont val="宋体"/>
        <family val="3"/>
        <charset val="134"/>
      </rPr>
      <t>页</t>
    </r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</si>
  <si>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</si>
  <si>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</si>
  <si>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</si>
  <si>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</si>
  <si>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</si>
  <si>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</si>
  <si>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</si>
  <si>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</si>
  <si>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</si>
  <si>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</si>
  <si>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</si>
  <si>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</si>
  <si>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[88]</t>
  </si>
  <si>
    <r>
      <t>第</t>
    </r>
    <r>
      <rPr>
        <sz val="11"/>
        <color theme="1"/>
        <rFont val="Times New Roman"/>
        <family val="1"/>
      </rPr>
      <t xml:space="preserve"> 45 </t>
    </r>
    <r>
      <rPr>
        <sz val="11"/>
        <color theme="1"/>
        <rFont val="宋体"/>
        <family val="3"/>
        <charset val="134"/>
      </rPr>
      <t>页</t>
    </r>
  </si>
  <si>
    <t>[89]</t>
  </si>
  <si>
    <r>
      <t>第</t>
    </r>
    <r>
      <rPr>
        <sz val="11"/>
        <color theme="1"/>
        <rFont val="Times New Roman"/>
        <family val="1"/>
      </rPr>
      <t xml:space="preserve"> 46 </t>
    </r>
    <r>
      <rPr>
        <sz val="11"/>
        <color theme="1"/>
        <rFont val="宋体"/>
        <family val="3"/>
        <charset val="134"/>
      </rPr>
      <t>页</t>
    </r>
  </si>
  <si>
    <t>[90]</t>
  </si>
  <si>
    <t>[91]</t>
  </si>
  <si>
    <t>[92]</t>
  </si>
  <si>
    <t>[93]</t>
  </si>
  <si>
    <r>
      <t>第</t>
    </r>
    <r>
      <rPr>
        <sz val="11"/>
        <color theme="1"/>
        <rFont val="Times New Roman"/>
        <family val="1"/>
      </rPr>
      <t xml:space="preserve"> 47 </t>
    </r>
    <r>
      <rPr>
        <sz val="11"/>
        <color theme="1"/>
        <rFont val="宋体"/>
        <family val="3"/>
        <charset val="134"/>
      </rPr>
      <t>页</t>
    </r>
  </si>
  <si>
    <t>[94]</t>
  </si>
  <si>
    <t>[95]</t>
  </si>
  <si>
    <t>[96]</t>
  </si>
  <si>
    <r>
      <t>第</t>
    </r>
    <r>
      <rPr>
        <sz val="11"/>
        <color theme="1"/>
        <rFont val="Times New Roman"/>
        <family val="1"/>
      </rPr>
      <t xml:space="preserve"> 48 </t>
    </r>
    <r>
      <rPr>
        <sz val="11"/>
        <color theme="1"/>
        <rFont val="宋体"/>
        <family val="3"/>
        <charset val="134"/>
      </rPr>
      <t>页</t>
    </r>
  </si>
  <si>
    <t>[16]</t>
  </si>
  <si>
    <t>[17]</t>
  </si>
  <si>
    <t>[18]</t>
  </si>
  <si>
    <t>[19]</t>
  </si>
  <si>
    <r>
      <t>第</t>
    </r>
    <r>
      <rPr>
        <sz val="11"/>
        <color theme="1"/>
        <rFont val="Times New Roman"/>
        <family val="1"/>
      </rPr>
      <t xml:space="preserve"> 49 </t>
    </r>
    <r>
      <rPr>
        <sz val="11"/>
        <color theme="1"/>
        <rFont val="宋体"/>
        <family val="3"/>
        <charset val="134"/>
      </rPr>
      <t>页</t>
    </r>
  </si>
  <si>
    <t>[22]</t>
  </si>
  <si>
    <t>[23]</t>
  </si>
  <si>
    <t>[25]</t>
  </si>
  <si>
    <t>[24]</t>
  </si>
  <si>
    <t>[26]</t>
  </si>
  <si>
    <r>
      <t>第</t>
    </r>
    <r>
      <rPr>
        <sz val="11"/>
        <color theme="1"/>
        <rFont val="Times New Roman"/>
        <family val="1"/>
      </rPr>
      <t xml:space="preserve"> 50 </t>
    </r>
    <r>
      <rPr>
        <sz val="11"/>
        <color theme="1"/>
        <rFont val="宋体"/>
        <family val="3"/>
        <charset val="134"/>
      </rPr>
      <t>页</t>
    </r>
  </si>
  <si>
    <t>[27]</t>
  </si>
  <si>
    <t>[28]</t>
  </si>
  <si>
    <t>[29]</t>
  </si>
  <si>
    <t>[30]</t>
  </si>
  <si>
    <t>[31]</t>
  </si>
  <si>
    <t>[32]</t>
  </si>
  <si>
    <t>[33]</t>
  </si>
  <si>
    <t>[75]</t>
  </si>
  <si>
    <r>
      <t>第</t>
    </r>
    <r>
      <rPr>
        <sz val="11"/>
        <color theme="1"/>
        <rFont val="Times New Roman"/>
        <family val="1"/>
      </rPr>
      <t xml:space="preserve"> 51 </t>
    </r>
    <r>
      <rPr>
        <sz val="11"/>
        <color theme="1"/>
        <rFont val="宋体"/>
        <family val="3"/>
        <charset val="134"/>
      </rPr>
      <t>页</t>
    </r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</si>
  <si>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</si>
  <si>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</si>
  <si>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</si>
  <si>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</si>
  <si>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</si>
  <si>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</si>
  <si>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</si>
  <si>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</si>
  <si>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</si>
  <si>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</si>
  <si>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</si>
  <si>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</si>
  <si>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r>
      <t>第</t>
    </r>
    <r>
      <rPr>
        <sz val="11"/>
        <color theme="1"/>
        <rFont val="Times New Roman"/>
        <family val="1"/>
      </rPr>
      <t xml:space="preserve"> 53 </t>
    </r>
    <r>
      <rPr>
        <sz val="11"/>
        <color theme="1"/>
        <rFont val="宋体"/>
        <family val="3"/>
        <charset val="134"/>
      </rPr>
      <t>页</t>
    </r>
  </si>
  <si>
    <t>[97]</t>
  </si>
  <si>
    <t>[98]</t>
  </si>
  <si>
    <t>[99]</t>
  </si>
  <si>
    <t>[100]</t>
  </si>
  <si>
    <r>
      <t>第</t>
    </r>
    <r>
      <rPr>
        <sz val="11"/>
        <color theme="1"/>
        <rFont val="Times New Roman"/>
        <family val="1"/>
      </rPr>
      <t xml:space="preserve"> 54 </t>
    </r>
    <r>
      <rPr>
        <sz val="11"/>
        <color theme="1"/>
        <rFont val="宋体"/>
        <family val="3"/>
        <charset val="134"/>
      </rPr>
      <t>页</t>
    </r>
  </si>
  <si>
    <t>[101]</t>
  </si>
  <si>
    <r>
      <t>第</t>
    </r>
    <r>
      <rPr>
        <sz val="11"/>
        <color theme="1"/>
        <rFont val="Times New Roman"/>
        <family val="1"/>
      </rPr>
      <t xml:space="preserve"> 55 </t>
    </r>
    <r>
      <rPr>
        <sz val="11"/>
        <color theme="1"/>
        <rFont val="宋体"/>
        <family val="3"/>
        <charset val="134"/>
      </rPr>
      <t>页</t>
    </r>
  </si>
  <si>
    <t>[102]</t>
  </si>
  <si>
    <r>
      <t>第</t>
    </r>
    <r>
      <rPr>
        <sz val="11"/>
        <color theme="1"/>
        <rFont val="Times New Roman"/>
        <family val="1"/>
      </rPr>
      <t xml:space="preserve"> 59 </t>
    </r>
    <r>
      <rPr>
        <sz val="11"/>
        <color theme="1"/>
        <rFont val="宋体"/>
        <family val="3"/>
        <charset val="134"/>
      </rPr>
      <t>页</t>
    </r>
  </si>
  <si>
    <t>原序号</t>
    <phoneticPr fontId="4" type="noConversion"/>
  </si>
  <si>
    <t>最小级别章节号</t>
    <phoneticPr fontId="4" type="noConversion"/>
  </si>
  <si>
    <t>[1]</t>
    <phoneticPr fontId="4" type="noConversion"/>
  </si>
  <si>
    <t>**=IF(COUNTIF($A$2:A2, A2)=1, "首次出现", "重复")</t>
    <phoneticPr fontId="4" type="noConversion"/>
  </si>
  <si>
    <t>首次出现</t>
  </si>
  <si>
    <t>重复</t>
  </si>
  <si>
    <t>应该改成的编号</t>
    <phoneticPr fontId="4" type="noConversion"/>
  </si>
  <si>
    <t>判断</t>
    <phoneticPr fontId="4" type="noConversion"/>
  </si>
  <si>
    <r>
      <rPr>
        <sz val="11"/>
        <color theme="1"/>
        <rFont val="等线"/>
        <family val="3"/>
        <charset val="134"/>
        <scheme val="minor"/>
      </rPr>
      <t>**</t>
    </r>
    <r>
      <rPr>
        <sz val="11"/>
        <color theme="1"/>
        <rFont val="等线"/>
        <family val="2"/>
        <scheme val="minor"/>
      </rPr>
      <t>=MID(A4,2,1)</t>
    </r>
    <phoneticPr fontId="4" type="noConversion"/>
  </si>
  <si>
    <t>原序号数字提取</t>
    <phoneticPr fontId="4" type="noConversion"/>
  </si>
  <si>
    <t>判断是否首次引用</t>
    <phoneticPr fontId="4" type="noConversion"/>
  </si>
  <si>
    <t>首次出现</t>
    <phoneticPr fontId="4" type="noConversion"/>
  </si>
  <si>
    <t>是否修改</t>
    <phoneticPr fontId="4" type="noConversion"/>
  </si>
  <si>
    <t>**=IF(COUNTIF($A$2:A2, A2)=1, MAX($B$1:B1)+1, VLOOKUP(A2, $A$2:B2, 2, 0))</t>
    <phoneticPr fontId="4" type="noConversion"/>
  </si>
  <si>
    <t>宏命令提取</t>
    <phoneticPr fontId="4" type="noConversion"/>
  </si>
  <si>
    <t>所在页码</t>
    <phoneticPr fontId="4" type="noConversion"/>
  </si>
  <si>
    <t>最小级别章节号</t>
  </si>
  <si>
    <t>角标编号</t>
    <phoneticPr fontId="4" type="noConversion"/>
  </si>
  <si>
    <t>插入列</t>
    <phoneticPr fontId="4" type="noConversion"/>
  </si>
  <si>
    <t>判断是否修改</t>
    <phoneticPr fontId="4" type="noConversion"/>
  </si>
  <si>
    <t>并输入函数</t>
    <phoneticPr fontId="4" type="noConversion"/>
  </si>
  <si>
    <t>修改参考文献表</t>
    <phoneticPr fontId="4" type="noConversion"/>
  </si>
  <si>
    <t>并修改角标</t>
    <phoneticPr fontId="4" type="noConversion"/>
  </si>
  <si>
    <t>word</t>
    <phoneticPr fontId="4" type="noConversion"/>
  </si>
  <si>
    <t>excel</t>
    <phoneticPr fontId="4" type="noConversion"/>
  </si>
  <si>
    <t>文字转表格</t>
    <phoneticPr fontId="4" type="noConversion"/>
  </si>
  <si>
    <t>ai或者手动替换</t>
    <phoneticPr fontId="4" type="noConversion"/>
  </si>
  <si>
    <t>结束</t>
    <phoneticPr fontId="4" type="noConversion"/>
  </si>
  <si>
    <t>遇到的问题</t>
    <phoneticPr fontId="4" type="noConversion"/>
  </si>
  <si>
    <t>解决方案</t>
    <phoneticPr fontId="4" type="noConversion"/>
  </si>
  <si>
    <t>没有按顺序引用参考文献</t>
    <phoneticPr fontId="4" type="noConversion"/>
  </si>
  <si>
    <t>角标逐个筛查太麻烦</t>
    <phoneticPr fontId="4" type="noConversion"/>
  </si>
  <si>
    <t>角标编号</t>
    <phoneticPr fontId="4" type="noConversion"/>
  </si>
  <si>
    <t>**=IF(VALUE(C2)=VALUE(MID(B2,2,LEN(B2)-2)), "不改", "改")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</si>
</sst>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70C0"/>
      <name val="宋体"/>
      <family val="3"/>
      <charset val="134"/>
    </font>
    <font>
      <sz val="8"/>
      <color theme="1"/>
      <name val="宋体"/>
      <family val="3"/>
      <charset val="134"/>
    </font>
    <font>
      <sz val="8"/>
      <color rgb="FFFF0000"/>
      <name val="宋体"/>
      <family val="3"/>
      <charset val="134"/>
    </font>
    <font>
      <b/>
      <sz val="8"/>
      <color rgb="FF0070C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thick">
        <color rgb="FF666666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66666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5" fillId="0" borderId="0" xfId="0" applyFont="1"/>
    <xf numFmtId="0" fontId="2" fillId="2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2" fillId="0" borderId="0" xfId="0" applyFont="1" applyFill="1" applyAlignment="1">
      <alignment horizontal="justify" vertical="center" wrapText="1"/>
    </xf>
    <xf numFmtId="0" fontId="1" fillId="0" borderId="0" xfId="0" applyFont="1" applyFill="1" applyAlignment="1">
      <alignment horizontal="justify" vertical="center" wrapText="1"/>
    </xf>
    <xf numFmtId="0" fontId="2" fillId="0" borderId="2" xfId="0" applyFont="1" applyFill="1" applyBorder="1" applyAlignment="1">
      <alignment horizontal="justify" vertical="center" wrapText="1"/>
    </xf>
    <xf numFmtId="0" fontId="1" fillId="0" borderId="2" xfId="0" applyFont="1" applyFill="1" applyBorder="1" applyAlignment="1">
      <alignment horizontal="justify" vertical="center" wrapText="1"/>
    </xf>
    <xf numFmtId="0" fontId="0" fillId="0" borderId="0" xfId="0" applyFill="1"/>
    <xf numFmtId="0" fontId="7" fillId="4" borderId="3" xfId="0" applyFont="1" applyFill="1" applyBorder="1" applyAlignment="1">
      <alignment horizontal="justify" vertical="center" wrapText="1"/>
    </xf>
    <xf numFmtId="0" fontId="8" fillId="0" borderId="1" xfId="0" applyFont="1" applyFill="1" applyBorder="1" applyAlignment="1">
      <alignment horizontal="justify" vertical="center" wrapText="1"/>
    </xf>
    <xf numFmtId="0" fontId="9" fillId="4" borderId="1" xfId="0" applyFont="1" applyFill="1" applyBorder="1" applyAlignment="1">
      <alignment horizontal="justify" vertical="center" wrapText="1"/>
    </xf>
    <xf numFmtId="0" fontId="8" fillId="0" borderId="3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justify" vertical="center" wrapText="1"/>
    </xf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9A7B-8393-4533-B530-936CE77A400D}">
  <dimension ref="A1:P133"/>
  <sheetViews>
    <sheetView tabSelected="1" zoomScale="145" zoomScaleNormal="145" workbookViewId="0">
      <pane ySplit="1" topLeftCell="A2" activePane="bottomLeft" state="frozen"/>
      <selection pane="bottomLeft" activeCell="F1" sqref="F1:F1048576"/>
    </sheetView>
  </sheetViews>
  <sheetFormatPr defaultRowHeight="13.8" x14ac:dyDescent="0.25"/>
  <cols>
    <col min="1" max="1" width="7.109375" bestFit="1" customWidth="1"/>
    <col min="2" max="2" width="4.88671875" bestFit="1" customWidth="1"/>
    <col min="3" max="3" width="6" bestFit="1" customWidth="1"/>
    <col min="4" max="4" width="8.6640625" style="17" bestFit="1" customWidth="1"/>
    <col min="5" max="5" width="8.5546875" style="17" bestFit="1" customWidth="1"/>
    <col min="6" max="6" width="9.5546875" style="17" bestFit="1" customWidth="1"/>
    <col min="7" max="7" width="3.6640625" bestFit="1" customWidth="1"/>
    <col min="10" max="10" width="4.44140625" customWidth="1"/>
    <col min="11" max="11" width="10" customWidth="1"/>
    <col min="12" max="12" width="16.33203125" customWidth="1"/>
    <col min="13" max="13" width="20.44140625" bestFit="1" customWidth="1"/>
    <col min="14" max="14" width="76" bestFit="1" customWidth="1"/>
  </cols>
  <sheetData>
    <row r="1" spans="1:16" ht="29.4" thickBot="1" x14ac:dyDescent="0.3">
      <c r="A1" s="18" t="s">
        <v>179</v>
      </c>
      <c r="B1" s="19" t="s">
        <v>199</v>
      </c>
      <c r="C1" s="20" t="s">
        <v>173</v>
      </c>
      <c r="D1" s="21" t="s">
        <v>182</v>
      </c>
      <c r="E1" s="21" t="s">
        <v>168</v>
      </c>
      <c r="F1" s="22" t="s">
        <v>174</v>
      </c>
      <c r="G1" s="12"/>
      <c r="H1" s="12"/>
      <c r="I1" s="1"/>
      <c r="J1" s="1"/>
      <c r="K1" s="1"/>
      <c r="L1" s="1"/>
    </row>
    <row r="2" spans="1:16" ht="15" thickTop="1" x14ac:dyDescent="0.25">
      <c r="A2" s="2" t="str">
        <f>IF(VALUE(C2)=VALUE(MID(B2,2,LEN(B2)-2)), "不改", "改")</f>
        <v>不改</v>
      </c>
      <c r="B2" s="2" t="s">
        <v>169</v>
      </c>
      <c r="C2">
        <f>IF(COUNTIF($B$2:B2, B2)=1, MAX($C$1:C1)+1, VLOOKUP(B2, $B$2:C2, 2, 0))</f>
        <v>1</v>
      </c>
      <c r="D2" s="13" t="s">
        <v>32</v>
      </c>
      <c r="E2" s="14" t="s">
        <v>0</v>
      </c>
      <c r="F2" s="14" t="s">
        <v>171</v>
      </c>
      <c r="G2" s="3"/>
      <c r="I2" s="2"/>
      <c r="J2" s="2"/>
      <c r="K2" s="6"/>
      <c r="L2" s="6"/>
      <c r="M2" t="s">
        <v>177</v>
      </c>
      <c r="N2" t="s">
        <v>170</v>
      </c>
    </row>
    <row r="3" spans="1:16" ht="14.4" x14ac:dyDescent="0.25">
      <c r="A3" s="2" t="str">
        <f t="shared" ref="A3:A66" si="0">IF(VALUE(C3)=VALUE(MID(B3,2,LEN(B3)-2)), "不改", "改")</f>
        <v>不改</v>
      </c>
      <c r="B3" s="2" t="s">
        <v>33</v>
      </c>
      <c r="C3">
        <f>IF(COUNTIF($B$2:B3, B3)=1, MAX($C$1:C2)+1, VLOOKUP(B3, $B$2:C3, 2, 0))</f>
        <v>2</v>
      </c>
      <c r="D3" s="13" t="s">
        <v>45</v>
      </c>
      <c r="E3" s="14" t="s">
        <v>1</v>
      </c>
      <c r="F3" s="14" t="s">
        <v>171</v>
      </c>
      <c r="G3" s="3"/>
      <c r="I3" s="2"/>
      <c r="J3" s="2"/>
      <c r="K3" s="6"/>
      <c r="L3" s="6"/>
      <c r="M3" t="s">
        <v>173</v>
      </c>
      <c r="N3" t="s">
        <v>180</v>
      </c>
    </row>
    <row r="4" spans="1:16" ht="14.4" x14ac:dyDescent="0.25">
      <c r="A4" s="2" t="str">
        <f t="shared" si="0"/>
        <v>不改</v>
      </c>
      <c r="B4" s="2" t="s">
        <v>34</v>
      </c>
      <c r="C4">
        <f>IF(COUNTIF($B$2:B4, B4)=1, MAX($C$1:C3)+1, VLOOKUP(B4, $B$2:C4, 2, 0))</f>
        <v>3</v>
      </c>
      <c r="D4" s="13" t="s">
        <v>32</v>
      </c>
      <c r="E4" s="14" t="s">
        <v>0</v>
      </c>
      <c r="F4" s="14" t="s">
        <v>171</v>
      </c>
      <c r="G4" s="3"/>
      <c r="I4" s="2"/>
      <c r="J4" s="2"/>
      <c r="K4" s="6"/>
      <c r="L4" s="6"/>
      <c r="M4" t="s">
        <v>176</v>
      </c>
      <c r="N4" s="9" t="s">
        <v>175</v>
      </c>
    </row>
    <row r="5" spans="1:16" ht="14.4" x14ac:dyDescent="0.25">
      <c r="A5" s="2" t="str">
        <f t="shared" si="0"/>
        <v>不改</v>
      </c>
      <c r="B5" s="2" t="s">
        <v>35</v>
      </c>
      <c r="C5">
        <f>IF(COUNTIF($B$2:B5, B5)=1, MAX($C$1:C4)+1, VLOOKUP(B5, $B$2:C5, 2, 0))</f>
        <v>4</v>
      </c>
      <c r="D5" s="13" t="s">
        <v>32</v>
      </c>
      <c r="E5" s="14" t="s">
        <v>0</v>
      </c>
      <c r="F5" s="14" t="s">
        <v>171</v>
      </c>
      <c r="G5" s="3"/>
      <c r="I5" s="2"/>
      <c r="J5" s="2"/>
      <c r="K5" s="6"/>
      <c r="L5" s="6"/>
      <c r="M5" t="s">
        <v>186</v>
      </c>
      <c r="N5" s="9" t="s">
        <v>200</v>
      </c>
    </row>
    <row r="6" spans="1:16" ht="10.8" customHeight="1" x14ac:dyDescent="0.25">
      <c r="A6" s="2" t="str">
        <f t="shared" si="0"/>
        <v>不改</v>
      </c>
      <c r="B6" s="2" t="s">
        <v>36</v>
      </c>
      <c r="C6">
        <f>IF(COUNTIF($B$2:B6, B6)=1, MAX($C$1:C5)+1, VLOOKUP(B6, $B$2:C6, 2, 0))</f>
        <v>5</v>
      </c>
      <c r="D6" s="13" t="s">
        <v>32</v>
      </c>
      <c r="E6" s="14" t="s">
        <v>0</v>
      </c>
      <c r="F6" s="14" t="s">
        <v>171</v>
      </c>
      <c r="G6" s="3"/>
      <c r="I6" s="2"/>
      <c r="J6" s="2"/>
      <c r="K6" s="6" t="s">
        <v>195</v>
      </c>
      <c r="L6" s="6" t="s">
        <v>197</v>
      </c>
      <c r="M6" t="s">
        <v>198</v>
      </c>
    </row>
    <row r="7" spans="1:16" ht="14.4" x14ac:dyDescent="0.25">
      <c r="A7" s="2" t="str">
        <f t="shared" si="0"/>
        <v>改</v>
      </c>
      <c r="B7" s="2" t="s">
        <v>37</v>
      </c>
      <c r="C7">
        <f>IF(COUNTIF($B$2:B7, B7)=1, MAX($C$1:C6)+1, VLOOKUP(B7, $B$2:C7, 2, 0))</f>
        <v>6</v>
      </c>
      <c r="D7" s="13" t="s">
        <v>32</v>
      </c>
      <c r="E7" s="14" t="s">
        <v>0</v>
      </c>
      <c r="F7" s="14" t="s">
        <v>171</v>
      </c>
      <c r="G7" s="3"/>
      <c r="I7" s="2"/>
      <c r="J7" s="2"/>
      <c r="K7" s="6" t="s">
        <v>196</v>
      </c>
      <c r="L7" s="6"/>
    </row>
    <row r="8" spans="1:16" ht="14.4" customHeight="1" thickBot="1" x14ac:dyDescent="0.3">
      <c r="A8" s="2" t="str">
        <f t="shared" si="0"/>
        <v>改</v>
      </c>
      <c r="B8" s="2" t="s">
        <v>39</v>
      </c>
      <c r="C8">
        <f>IF(COUNTIF($B$2:B8, B8)=1, MAX($C$1:C7)+1, VLOOKUP(B8, $B$2:C8, 2, 0))</f>
        <v>7</v>
      </c>
      <c r="D8" s="13" t="s">
        <v>38</v>
      </c>
      <c r="E8" s="14" t="s">
        <v>1</v>
      </c>
      <c r="F8" s="14" t="s">
        <v>171</v>
      </c>
      <c r="G8" s="3"/>
      <c r="I8" s="2"/>
      <c r="J8" s="2"/>
      <c r="K8" s="6">
        <v>1</v>
      </c>
      <c r="L8" s="6" t="s">
        <v>190</v>
      </c>
      <c r="M8" t="s">
        <v>181</v>
      </c>
    </row>
    <row r="9" spans="1:16" ht="15" thickBot="1" x14ac:dyDescent="0.3">
      <c r="A9" s="2" t="str">
        <f t="shared" si="0"/>
        <v>改</v>
      </c>
      <c r="B9" s="2" t="s">
        <v>40</v>
      </c>
      <c r="C9">
        <f>IF(COUNTIF($B$2:B9, B9)=1, MAX($C$1:C8)+1, VLOOKUP(B9, $B$2:C9, 2, 0))</f>
        <v>8</v>
      </c>
      <c r="D9" s="13" t="s">
        <v>38</v>
      </c>
      <c r="E9" s="14" t="s">
        <v>1</v>
      </c>
      <c r="F9" s="13" t="s">
        <v>178</v>
      </c>
      <c r="G9" s="3"/>
      <c r="I9" s="2"/>
      <c r="J9" s="2"/>
      <c r="K9" s="6"/>
      <c r="L9" s="6" t="s">
        <v>192</v>
      </c>
      <c r="M9" s="1" t="s">
        <v>184</v>
      </c>
      <c r="N9" s="1" t="s">
        <v>183</v>
      </c>
      <c r="O9" s="1" t="s">
        <v>30</v>
      </c>
    </row>
    <row r="10" spans="1:16" ht="15" thickTop="1" x14ac:dyDescent="0.25">
      <c r="A10" s="2" t="str">
        <f t="shared" si="0"/>
        <v>改</v>
      </c>
      <c r="B10" s="2" t="s">
        <v>37</v>
      </c>
      <c r="C10">
        <f>IF(COUNTIF($B$2:B10, B10)=1, MAX($C$1:C9)+1, VLOOKUP(B10, $B$2:C10, 2, 0))</f>
        <v>6</v>
      </c>
      <c r="D10" s="13" t="s">
        <v>38</v>
      </c>
      <c r="E10" s="14" t="s">
        <v>1</v>
      </c>
      <c r="F10" s="14" t="s">
        <v>172</v>
      </c>
      <c r="G10" s="3"/>
      <c r="I10" s="2"/>
      <c r="J10" s="2"/>
      <c r="K10" s="6"/>
      <c r="L10" s="6"/>
    </row>
    <row r="11" spans="1:16" ht="15" thickBot="1" x14ac:dyDescent="0.3">
      <c r="A11" s="2" t="str">
        <f t="shared" si="0"/>
        <v>不改</v>
      </c>
      <c r="B11" s="2" t="s">
        <v>42</v>
      </c>
      <c r="C11">
        <f>IF(COUNTIF($B$2:B11, B11)=1, MAX($C$1:C10)+1, VLOOKUP(B11, $B$2:C11, 2, 0))</f>
        <v>9</v>
      </c>
      <c r="D11" s="13" t="s">
        <v>41</v>
      </c>
      <c r="E11" s="14" t="s">
        <v>1</v>
      </c>
      <c r="F11" s="14" t="s">
        <v>171</v>
      </c>
      <c r="G11" s="3"/>
      <c r="I11" s="2"/>
      <c r="J11" s="2"/>
      <c r="K11" s="6">
        <v>2</v>
      </c>
      <c r="L11" s="6" t="s">
        <v>191</v>
      </c>
      <c r="M11" t="s">
        <v>185</v>
      </c>
    </row>
    <row r="12" spans="1:16" ht="15" thickBot="1" x14ac:dyDescent="0.3">
      <c r="A12" s="2" t="str">
        <f t="shared" si="0"/>
        <v>改</v>
      </c>
      <c r="B12" s="2" t="s">
        <v>37</v>
      </c>
      <c r="C12">
        <f>IF(COUNTIF($B$2:B12, B12)=1, MAX($C$1:C11)+1, VLOOKUP(B12, $B$2:C12, 2, 0))</f>
        <v>6</v>
      </c>
      <c r="D12" s="13" t="s">
        <v>43</v>
      </c>
      <c r="E12" s="14" t="s">
        <v>1</v>
      </c>
      <c r="F12" s="14" t="s">
        <v>172</v>
      </c>
      <c r="G12" s="3"/>
      <c r="I12" s="2"/>
      <c r="J12" s="2"/>
      <c r="K12" s="6"/>
      <c r="L12" s="6"/>
      <c r="M12" s="10" t="s">
        <v>173</v>
      </c>
      <c r="N12" s="11" t="s">
        <v>174</v>
      </c>
      <c r="O12" s="11" t="s">
        <v>167</v>
      </c>
      <c r="P12" s="8" t="s">
        <v>179</v>
      </c>
    </row>
    <row r="13" spans="1:16" ht="15" thickTop="1" x14ac:dyDescent="0.25">
      <c r="A13" s="2" t="str">
        <f t="shared" si="0"/>
        <v>改</v>
      </c>
      <c r="B13" s="2" t="s">
        <v>44</v>
      </c>
      <c r="C13">
        <f>IF(COUNTIF($B$2:B13, B13)=1, MAX($C$1:C12)+1, VLOOKUP(B13, $B$2:C13, 2, 0))</f>
        <v>10</v>
      </c>
      <c r="D13" s="13" t="s">
        <v>41</v>
      </c>
      <c r="E13" s="14" t="s">
        <v>1</v>
      </c>
      <c r="F13" s="13" t="s">
        <v>178</v>
      </c>
      <c r="G13" s="3"/>
      <c r="I13" s="2"/>
      <c r="J13" s="2"/>
      <c r="K13" s="6"/>
      <c r="L13" s="6"/>
      <c r="M13" t="s">
        <v>187</v>
      </c>
    </row>
    <row r="14" spans="1:16" ht="14.4" x14ac:dyDescent="0.25">
      <c r="A14" s="2" t="str">
        <f t="shared" si="0"/>
        <v>不改</v>
      </c>
      <c r="B14" s="2" t="s">
        <v>42</v>
      </c>
      <c r="C14">
        <f>IF(COUNTIF($B$2:B14, B14)=1, MAX($C$1:C13)+1, VLOOKUP(B14, $B$2:C14, 2, 0))</f>
        <v>9</v>
      </c>
      <c r="D14" s="13" t="s">
        <v>43</v>
      </c>
      <c r="E14" s="14" t="s">
        <v>1</v>
      </c>
      <c r="F14" s="14" t="s">
        <v>172</v>
      </c>
      <c r="G14" s="3"/>
      <c r="I14" s="6"/>
      <c r="J14" s="2"/>
      <c r="K14" s="6"/>
      <c r="L14" s="6"/>
    </row>
    <row r="15" spans="1:16" ht="15" thickBot="1" x14ac:dyDescent="0.3">
      <c r="A15" s="2" t="str">
        <f t="shared" si="0"/>
        <v>不改</v>
      </c>
      <c r="B15" s="2" t="s">
        <v>31</v>
      </c>
      <c r="C15">
        <f>IF(COUNTIF($B$2:B15, B15)=1, MAX($C$1:C14)+1, VLOOKUP(B15, $B$2:C15, 2, 0))</f>
        <v>1</v>
      </c>
      <c r="D15" s="13" t="s">
        <v>47</v>
      </c>
      <c r="E15" s="14" t="s">
        <v>2</v>
      </c>
      <c r="F15" s="14" t="s">
        <v>172</v>
      </c>
      <c r="G15" s="3"/>
      <c r="I15" s="2"/>
      <c r="J15" s="2"/>
      <c r="K15" s="6"/>
      <c r="L15" s="6"/>
    </row>
    <row r="16" spans="1:16" ht="15" thickBot="1" x14ac:dyDescent="0.3">
      <c r="A16" s="2" t="str">
        <f t="shared" si="0"/>
        <v>改</v>
      </c>
      <c r="B16" s="2" t="s">
        <v>46</v>
      </c>
      <c r="C16">
        <f>IF(COUNTIF($B$2:B16, B16)=1, MAX($C$1:C15)+1, VLOOKUP(B16, $B$2:C16, 2, 0))</f>
        <v>11</v>
      </c>
      <c r="D16" s="13" t="s">
        <v>49</v>
      </c>
      <c r="E16" s="14" t="s">
        <v>3</v>
      </c>
      <c r="F16" s="14" t="s">
        <v>171</v>
      </c>
      <c r="G16" s="3"/>
      <c r="I16" s="2"/>
      <c r="J16" s="2"/>
      <c r="K16" s="6">
        <v>3</v>
      </c>
      <c r="L16" s="6" t="s">
        <v>193</v>
      </c>
      <c r="M16" s="11" t="s">
        <v>167</v>
      </c>
      <c r="N16" s="11" t="s">
        <v>173</v>
      </c>
    </row>
    <row r="17" spans="1:13" ht="15" thickTop="1" x14ac:dyDescent="0.25">
      <c r="A17" s="2" t="str">
        <f t="shared" si="0"/>
        <v>改</v>
      </c>
      <c r="B17" s="2" t="s">
        <v>44</v>
      </c>
      <c r="C17">
        <f>IF(COUNTIF($B$2:B17, B17)=1, MAX($C$1:C16)+1, VLOOKUP(B17, $B$2:C17, 2, 0))</f>
        <v>10</v>
      </c>
      <c r="D17" s="13" t="s">
        <v>53</v>
      </c>
      <c r="E17" s="14" t="s">
        <v>4</v>
      </c>
      <c r="F17" s="14" t="s">
        <v>172</v>
      </c>
      <c r="G17" s="3"/>
      <c r="I17" s="2"/>
      <c r="J17" s="2"/>
      <c r="K17" s="6"/>
      <c r="L17" s="6"/>
      <c r="M17" t="s">
        <v>188</v>
      </c>
    </row>
    <row r="18" spans="1:13" ht="14.4" x14ac:dyDescent="0.25">
      <c r="A18" s="2" t="str">
        <f t="shared" si="0"/>
        <v>改</v>
      </c>
      <c r="B18" s="2" t="s">
        <v>44</v>
      </c>
      <c r="C18">
        <f>IF(COUNTIF($B$2:B18, B18)=1, MAX($C$1:C17)+1, VLOOKUP(B18, $B$2:C18, 2, 0))</f>
        <v>10</v>
      </c>
      <c r="D18" s="13" t="s">
        <v>43</v>
      </c>
      <c r="E18" s="14" t="s">
        <v>1</v>
      </c>
      <c r="F18" s="14" t="s">
        <v>172</v>
      </c>
      <c r="G18" s="3"/>
      <c r="I18" s="2"/>
      <c r="J18" s="2"/>
      <c r="K18" s="6"/>
      <c r="L18" s="6"/>
    </row>
    <row r="19" spans="1:13" ht="14.4" x14ac:dyDescent="0.25">
      <c r="A19" s="2" t="str">
        <f t="shared" si="0"/>
        <v>改</v>
      </c>
      <c r="B19" s="2" t="s">
        <v>46</v>
      </c>
      <c r="C19">
        <f>IF(COUNTIF($B$2:B19, B19)=1, MAX($C$1:C18)+1, VLOOKUP(B19, $B$2:C19, 2, 0))</f>
        <v>11</v>
      </c>
      <c r="D19" s="13" t="s">
        <v>48</v>
      </c>
      <c r="E19" s="14" t="s">
        <v>2</v>
      </c>
      <c r="F19" s="14" t="s">
        <v>172</v>
      </c>
      <c r="G19" s="3"/>
      <c r="I19" s="2"/>
      <c r="J19" s="2"/>
      <c r="K19" s="6"/>
      <c r="L19" s="6"/>
      <c r="M19" t="s">
        <v>189</v>
      </c>
    </row>
    <row r="20" spans="1:13" ht="14.4" x14ac:dyDescent="0.25">
      <c r="A20" s="2" t="str">
        <f t="shared" si="0"/>
        <v>不改</v>
      </c>
      <c r="B20" s="2" t="s">
        <v>50</v>
      </c>
      <c r="C20">
        <f>IF(COUNTIF($B$2:B20, B20)=1, MAX($C$1:C19)+1, VLOOKUP(B20, $B$2:C20, 2, 0))</f>
        <v>12</v>
      </c>
      <c r="D20" s="13" t="s">
        <v>49</v>
      </c>
      <c r="E20" s="14" t="s">
        <v>3</v>
      </c>
      <c r="F20" s="14" t="s">
        <v>171</v>
      </c>
      <c r="G20" s="3"/>
      <c r="I20" s="2"/>
      <c r="J20" s="2"/>
      <c r="K20" s="6">
        <v>4</v>
      </c>
      <c r="L20" s="6" t="s">
        <v>194</v>
      </c>
    </row>
    <row r="21" spans="1:13" ht="14.4" x14ac:dyDescent="0.25">
      <c r="A21" s="2" t="str">
        <f t="shared" si="0"/>
        <v>改</v>
      </c>
      <c r="B21" s="2" t="s">
        <v>52</v>
      </c>
      <c r="C21">
        <f>IF(COUNTIF($B$2:B21, B21)=1, MAX($C$1:C20)+1, VLOOKUP(B21, $B$2:C21, 2, 0))</f>
        <v>13</v>
      </c>
      <c r="D21" s="13" t="s">
        <v>166</v>
      </c>
      <c r="E21" s="14" t="s">
        <v>29</v>
      </c>
      <c r="F21" s="14" t="s">
        <v>171</v>
      </c>
      <c r="G21" s="3"/>
      <c r="I21" s="2"/>
      <c r="J21" s="2"/>
      <c r="K21" s="6"/>
      <c r="L21" s="6"/>
    </row>
    <row r="22" spans="1:13" ht="14.4" x14ac:dyDescent="0.25">
      <c r="A22" s="2" t="str">
        <f t="shared" si="0"/>
        <v>改</v>
      </c>
      <c r="B22" s="2" t="s">
        <v>46</v>
      </c>
      <c r="C22">
        <f>IF(COUNTIF($B$2:B22, B22)=1, MAX($C$1:C21)+1, VLOOKUP(B22, $B$2:C22, 2, 0))</f>
        <v>11</v>
      </c>
      <c r="D22" s="13" t="s">
        <v>51</v>
      </c>
      <c r="E22" s="14" t="s">
        <v>3</v>
      </c>
      <c r="F22" s="14" t="s">
        <v>172</v>
      </c>
      <c r="G22" s="3"/>
      <c r="I22" s="2"/>
      <c r="J22" s="2"/>
      <c r="K22" s="6"/>
      <c r="L22" s="6"/>
      <c r="M22" s="6"/>
    </row>
    <row r="23" spans="1:13" ht="14.4" x14ac:dyDescent="0.25">
      <c r="A23" s="2" t="str">
        <f t="shared" si="0"/>
        <v>不改</v>
      </c>
      <c r="B23" s="2" t="s">
        <v>50</v>
      </c>
      <c r="C23">
        <f>IF(COUNTIF($B$2:B23, B23)=1, MAX($C$1:C22)+1, VLOOKUP(B23, $B$2:C23, 2, 0))</f>
        <v>12</v>
      </c>
      <c r="D23" s="13" t="s">
        <v>54</v>
      </c>
      <c r="E23" s="14" t="s">
        <v>4</v>
      </c>
      <c r="F23" s="14" t="s">
        <v>172</v>
      </c>
      <c r="G23" s="3"/>
      <c r="I23" s="2"/>
      <c r="J23" s="2"/>
      <c r="K23" s="6"/>
      <c r="L23" s="6"/>
    </row>
    <row r="24" spans="1:13" ht="14.4" x14ac:dyDescent="0.25">
      <c r="A24" s="2" t="str">
        <f t="shared" si="0"/>
        <v>改</v>
      </c>
      <c r="B24" s="2" t="s">
        <v>55</v>
      </c>
      <c r="C24">
        <f>IF(COUNTIF($B$2:B24, B24)=1, MAX($C$1:C23)+1, VLOOKUP(B24, $B$2:C24, 2, 0))</f>
        <v>14</v>
      </c>
      <c r="D24" s="13" t="s">
        <v>124</v>
      </c>
      <c r="E24" s="14" t="s">
        <v>21</v>
      </c>
      <c r="F24" s="14" t="s">
        <v>171</v>
      </c>
      <c r="G24" s="3"/>
      <c r="I24" s="2"/>
      <c r="J24" s="2"/>
      <c r="K24" s="6"/>
      <c r="L24" s="6"/>
    </row>
    <row r="25" spans="1:13" ht="14.4" x14ac:dyDescent="0.25">
      <c r="A25" s="2" t="str">
        <f t="shared" si="0"/>
        <v>不改</v>
      </c>
      <c r="B25" s="2" t="s">
        <v>56</v>
      </c>
      <c r="C25">
        <f>IF(COUNTIF($B$2:B25, B25)=1, MAX($C$1:C24)+1, VLOOKUP(B25, $B$2:C25, 2, 0))</f>
        <v>15</v>
      </c>
      <c r="D25" s="13" t="s">
        <v>129</v>
      </c>
      <c r="E25" s="14" t="s">
        <v>22</v>
      </c>
      <c r="F25" s="14" t="s">
        <v>171</v>
      </c>
      <c r="G25" s="3"/>
      <c r="I25" s="2"/>
      <c r="J25" s="2"/>
      <c r="L25" s="6"/>
    </row>
    <row r="26" spans="1:13" ht="14.4" x14ac:dyDescent="0.25">
      <c r="A26" s="2" t="str">
        <f t="shared" si="0"/>
        <v>改</v>
      </c>
      <c r="B26" s="2" t="s">
        <v>55</v>
      </c>
      <c r="C26">
        <f>IF(COUNTIF($B$2:B26, B26)=1, MAX($C$1:C25)+1, VLOOKUP(B26, $B$2:C26, 2, 0))</f>
        <v>14</v>
      </c>
      <c r="D26" s="13" t="s">
        <v>129</v>
      </c>
      <c r="E26" s="14" t="s">
        <v>23</v>
      </c>
      <c r="F26" s="14" t="s">
        <v>172</v>
      </c>
      <c r="G26" s="3"/>
      <c r="I26" s="2"/>
      <c r="J26" s="2"/>
      <c r="K26" s="6"/>
      <c r="L26" s="6"/>
    </row>
    <row r="27" spans="1:13" ht="14.4" x14ac:dyDescent="0.25">
      <c r="A27" s="2" t="str">
        <f t="shared" si="0"/>
        <v>改</v>
      </c>
      <c r="B27" s="2" t="s">
        <v>58</v>
      </c>
      <c r="C27">
        <f>IF(COUNTIF($B$2:B27, B27)=1, MAX($C$1:C26)+1, VLOOKUP(B27, $B$2:C27, 2, 0))</f>
        <v>16</v>
      </c>
      <c r="D27" s="13" t="s">
        <v>54</v>
      </c>
      <c r="E27" s="14" t="s">
        <v>4</v>
      </c>
      <c r="F27" s="14" t="s">
        <v>171</v>
      </c>
      <c r="G27" s="3"/>
      <c r="I27" s="2"/>
      <c r="J27" s="2"/>
      <c r="K27" s="6"/>
      <c r="L27" s="6"/>
    </row>
    <row r="28" spans="1:13" ht="14.4" x14ac:dyDescent="0.25">
      <c r="A28" s="2" t="str">
        <f t="shared" si="0"/>
        <v>改</v>
      </c>
      <c r="B28" s="2" t="s">
        <v>60</v>
      </c>
      <c r="C28">
        <f>IF(COUNTIF($B$2:B28, B28)=1, MAX($C$1:C27)+1, VLOOKUP(B28, $B$2:C28, 2, 0))</f>
        <v>17</v>
      </c>
      <c r="D28" s="13" t="s">
        <v>57</v>
      </c>
      <c r="E28" s="14" t="s">
        <v>5</v>
      </c>
      <c r="F28" s="14" t="s">
        <v>171</v>
      </c>
      <c r="G28" s="3"/>
      <c r="I28" s="2"/>
      <c r="J28" s="2"/>
      <c r="K28" s="6"/>
      <c r="L28" s="6"/>
    </row>
    <row r="29" spans="1:13" ht="14.4" x14ac:dyDescent="0.25">
      <c r="A29" s="2" t="str">
        <f t="shared" si="0"/>
        <v>改</v>
      </c>
      <c r="B29" s="2" t="s">
        <v>61</v>
      </c>
      <c r="C29">
        <f>IF(COUNTIF($B$2:B29, B29)=1, MAX($C$1:C28)+1, VLOOKUP(B29, $B$2:C29, 2, 0))</f>
        <v>18</v>
      </c>
      <c r="D29" s="13" t="s">
        <v>124</v>
      </c>
      <c r="E29" s="14" t="s">
        <v>21</v>
      </c>
      <c r="F29" s="14" t="s">
        <v>171</v>
      </c>
      <c r="G29" s="3"/>
      <c r="I29" s="2"/>
      <c r="J29" s="2"/>
      <c r="K29" s="6"/>
      <c r="L29" s="6"/>
    </row>
    <row r="30" spans="1:13" ht="14.4" x14ac:dyDescent="0.25">
      <c r="A30" s="2" t="str">
        <f t="shared" si="0"/>
        <v>改</v>
      </c>
      <c r="B30" s="2" t="s">
        <v>61</v>
      </c>
      <c r="C30">
        <f>IF(COUNTIF($B$2:B30, B30)=1, MAX($C$1:C29)+1, VLOOKUP(B30, $B$2:C30, 2, 0))</f>
        <v>18</v>
      </c>
      <c r="D30" s="13" t="s">
        <v>124</v>
      </c>
      <c r="E30" s="14" t="s">
        <v>22</v>
      </c>
      <c r="F30" s="14" t="s">
        <v>172</v>
      </c>
      <c r="G30" s="3"/>
      <c r="I30" s="2"/>
      <c r="J30" s="2"/>
      <c r="K30" s="6"/>
      <c r="L30" s="6"/>
    </row>
    <row r="31" spans="1:13" ht="14.4" x14ac:dyDescent="0.25">
      <c r="A31" s="2" t="str">
        <f t="shared" si="0"/>
        <v>改</v>
      </c>
      <c r="B31" s="2" t="s">
        <v>61</v>
      </c>
      <c r="C31">
        <f>IF(COUNTIF($B$2:B31, B31)=1, MAX($C$1:C30)+1, VLOOKUP(B31, $B$2:C31, 2, 0))</f>
        <v>18</v>
      </c>
      <c r="D31" s="13" t="s">
        <v>53</v>
      </c>
      <c r="E31" s="14" t="s">
        <v>3</v>
      </c>
      <c r="F31" s="14" t="s">
        <v>172</v>
      </c>
      <c r="G31" s="3"/>
      <c r="I31" s="2"/>
      <c r="J31" s="2"/>
      <c r="K31" s="6"/>
      <c r="L31" s="6"/>
    </row>
    <row r="32" spans="1:13" ht="14.4" x14ac:dyDescent="0.25">
      <c r="A32" s="2" t="str">
        <f t="shared" si="0"/>
        <v>改</v>
      </c>
      <c r="B32" s="2" t="s">
        <v>61</v>
      </c>
      <c r="C32">
        <f>IF(COUNTIF($B$2:B32, B32)=1, MAX($C$1:C31)+1, VLOOKUP(B32, $B$2:C32, 2, 0))</f>
        <v>18</v>
      </c>
      <c r="D32" s="13" t="s">
        <v>54</v>
      </c>
      <c r="E32" s="14" t="s">
        <v>4</v>
      </c>
      <c r="F32" s="14" t="s">
        <v>172</v>
      </c>
      <c r="G32" s="3"/>
      <c r="I32" s="2"/>
      <c r="J32" s="2"/>
      <c r="K32" s="6"/>
      <c r="L32" s="6"/>
    </row>
    <row r="33" spans="1:12" ht="14.4" x14ac:dyDescent="0.25">
      <c r="A33" s="2" t="str">
        <f t="shared" si="0"/>
        <v>改</v>
      </c>
      <c r="B33" s="2" t="s">
        <v>64</v>
      </c>
      <c r="C33">
        <f>IF(COUNTIF($B$2:B33, B33)=1, MAX($C$1:C32)+1, VLOOKUP(B33, $B$2:C33, 2, 0))</f>
        <v>19</v>
      </c>
      <c r="D33" s="13" t="s">
        <v>124</v>
      </c>
      <c r="E33" s="14" t="s">
        <v>21</v>
      </c>
      <c r="F33" s="14" t="s">
        <v>171</v>
      </c>
      <c r="G33" s="3"/>
      <c r="I33" s="2"/>
      <c r="J33" s="2"/>
      <c r="K33" s="6"/>
      <c r="L33" s="6"/>
    </row>
    <row r="34" spans="1:12" ht="14.4" x14ac:dyDescent="0.25">
      <c r="A34" s="2" t="str">
        <f t="shared" si="0"/>
        <v>改</v>
      </c>
      <c r="B34" s="2" t="s">
        <v>66</v>
      </c>
      <c r="C34">
        <f>IF(COUNTIF($B$2:B34, B34)=1, MAX($C$1:C33)+1, VLOOKUP(B34, $B$2:C34, 2, 0))</f>
        <v>20</v>
      </c>
      <c r="D34" s="13" t="s">
        <v>124</v>
      </c>
      <c r="E34" s="14" t="s">
        <v>21</v>
      </c>
      <c r="F34" s="14" t="s">
        <v>171</v>
      </c>
      <c r="G34" s="3"/>
      <c r="I34" s="2"/>
      <c r="J34" s="2"/>
      <c r="K34" s="6"/>
      <c r="L34" s="6"/>
    </row>
    <row r="35" spans="1:12" ht="14.4" x14ac:dyDescent="0.25">
      <c r="A35" s="2" t="str">
        <f t="shared" si="0"/>
        <v>改</v>
      </c>
      <c r="B35" s="2" t="s">
        <v>68</v>
      </c>
      <c r="C35">
        <f>IF(COUNTIF($B$2:B35, B35)=1, MAX($C$1:C34)+1, VLOOKUP(B35, $B$2:C35, 2, 0))</f>
        <v>21</v>
      </c>
      <c r="D35" s="13" t="s">
        <v>166</v>
      </c>
      <c r="E35" s="14" t="s">
        <v>29</v>
      </c>
      <c r="F35" s="14" t="s">
        <v>171</v>
      </c>
      <c r="G35" s="3"/>
      <c r="I35" s="2"/>
      <c r="J35" s="2"/>
      <c r="K35" s="6"/>
      <c r="L35" s="6"/>
    </row>
    <row r="36" spans="1:12" ht="14.4" x14ac:dyDescent="0.25">
      <c r="A36" s="2" t="str">
        <f t="shared" si="0"/>
        <v>改</v>
      </c>
      <c r="B36" s="2" t="s">
        <v>64</v>
      </c>
      <c r="C36">
        <f>IF(COUNTIF($B$2:B36, B36)=1, MAX($C$1:C35)+1, VLOOKUP(B36, $B$2:C36, 2, 0))</f>
        <v>19</v>
      </c>
      <c r="D36" s="13" t="s">
        <v>124</v>
      </c>
      <c r="E36" s="14" t="s">
        <v>21</v>
      </c>
      <c r="F36" s="14" t="s">
        <v>172</v>
      </c>
      <c r="G36" s="3"/>
      <c r="I36" s="2"/>
      <c r="J36" s="2"/>
      <c r="K36" s="6"/>
      <c r="L36" s="6"/>
    </row>
    <row r="37" spans="1:12" ht="14.4" x14ac:dyDescent="0.25">
      <c r="A37" s="2" t="str">
        <f t="shared" si="0"/>
        <v>改</v>
      </c>
      <c r="B37" s="2" t="s">
        <v>70</v>
      </c>
      <c r="C37">
        <f>IF(COUNTIF($B$2:B37, B37)=1, MAX($C$1:C36)+1, VLOOKUP(B37, $B$2:C37, 2, 0))</f>
        <v>22</v>
      </c>
      <c r="D37" s="13" t="s">
        <v>124</v>
      </c>
      <c r="E37" s="14" t="s">
        <v>21</v>
      </c>
      <c r="F37" s="14" t="s">
        <v>171</v>
      </c>
      <c r="G37" s="3"/>
      <c r="I37" s="2"/>
      <c r="J37" s="2"/>
      <c r="K37" s="6"/>
      <c r="L37" s="6"/>
    </row>
    <row r="38" spans="1:12" ht="14.4" x14ac:dyDescent="0.25">
      <c r="A38" s="2" t="str">
        <f t="shared" si="0"/>
        <v>改</v>
      </c>
      <c r="B38" s="2" t="s">
        <v>71</v>
      </c>
      <c r="C38">
        <f>IF(COUNTIF($B$2:B38, B38)=1, MAX($C$1:C37)+1, VLOOKUP(B38, $B$2:C38, 2, 0))</f>
        <v>23</v>
      </c>
      <c r="D38" s="13" t="s">
        <v>124</v>
      </c>
      <c r="E38" s="14" t="s">
        <v>22</v>
      </c>
      <c r="F38" s="14" t="s">
        <v>171</v>
      </c>
      <c r="G38" s="3"/>
      <c r="I38" s="2"/>
      <c r="J38" s="2"/>
      <c r="K38" s="6"/>
      <c r="L38" s="6"/>
    </row>
    <row r="39" spans="1:12" ht="14.4" x14ac:dyDescent="0.25">
      <c r="A39" s="2" t="str">
        <f t="shared" si="0"/>
        <v>改</v>
      </c>
      <c r="B39" s="2" t="s">
        <v>72</v>
      </c>
      <c r="C39">
        <f>IF(COUNTIF($B$2:B39, B39)=1, MAX($C$1:C38)+1, VLOOKUP(B39, $B$2:C39, 2, 0))</f>
        <v>24</v>
      </c>
      <c r="D39" s="13" t="s">
        <v>59</v>
      </c>
      <c r="E39" s="14" t="s">
        <v>6</v>
      </c>
      <c r="F39" s="14" t="s">
        <v>171</v>
      </c>
      <c r="G39" s="3"/>
      <c r="I39" s="2"/>
      <c r="J39" s="2"/>
      <c r="K39" s="6"/>
      <c r="L39" s="6"/>
    </row>
    <row r="40" spans="1:12" ht="14.4" x14ac:dyDescent="0.25">
      <c r="A40" s="2" t="str">
        <f t="shared" si="0"/>
        <v>改</v>
      </c>
      <c r="B40" s="2" t="s">
        <v>73</v>
      </c>
      <c r="C40">
        <f>IF(COUNTIF($B$2:B40, B40)=1, MAX($C$1:C39)+1, VLOOKUP(B40, $B$2:C40, 2, 0))</f>
        <v>25</v>
      </c>
      <c r="D40" s="13" t="s">
        <v>59</v>
      </c>
      <c r="E40" s="14" t="s">
        <v>6</v>
      </c>
      <c r="F40" s="14" t="s">
        <v>171</v>
      </c>
      <c r="G40" s="3"/>
      <c r="I40" s="2"/>
      <c r="J40" s="2"/>
      <c r="K40" s="6"/>
      <c r="L40" s="6"/>
    </row>
    <row r="41" spans="1:12" ht="14.4" x14ac:dyDescent="0.25">
      <c r="A41" s="2" t="str">
        <f t="shared" si="0"/>
        <v>改</v>
      </c>
      <c r="B41" s="2" t="s">
        <v>66</v>
      </c>
      <c r="C41">
        <f>IF(COUNTIF($B$2:B41, B41)=1, MAX($C$1:C40)+1, VLOOKUP(B41, $B$2:C41, 2, 0))</f>
        <v>20</v>
      </c>
      <c r="D41" s="13" t="s">
        <v>129</v>
      </c>
      <c r="E41" s="14" t="s">
        <v>22</v>
      </c>
      <c r="F41" s="14" t="s">
        <v>172</v>
      </c>
      <c r="G41" s="3"/>
      <c r="I41" s="2"/>
      <c r="J41" s="2"/>
      <c r="K41" s="6"/>
      <c r="L41" s="6"/>
    </row>
    <row r="42" spans="1:12" ht="14.4" x14ac:dyDescent="0.25">
      <c r="A42" s="2" t="str">
        <f t="shared" si="0"/>
        <v>改</v>
      </c>
      <c r="B42" s="2" t="s">
        <v>68</v>
      </c>
      <c r="C42">
        <f>IF(COUNTIF($B$2:B42, B42)=1, MAX($C$1:C41)+1, VLOOKUP(B42, $B$2:C42, 2, 0))</f>
        <v>21</v>
      </c>
      <c r="D42" s="13" t="s">
        <v>129</v>
      </c>
      <c r="E42" s="14" t="s">
        <v>22</v>
      </c>
      <c r="F42" s="14" t="s">
        <v>172</v>
      </c>
      <c r="G42" s="3"/>
      <c r="I42" s="2"/>
      <c r="J42" s="2"/>
      <c r="K42" s="6"/>
      <c r="L42" s="6"/>
    </row>
    <row r="43" spans="1:12" ht="14.4" x14ac:dyDescent="0.25">
      <c r="A43" s="2" t="str">
        <f t="shared" si="0"/>
        <v>改</v>
      </c>
      <c r="B43" s="2" t="s">
        <v>68</v>
      </c>
      <c r="C43">
        <f>IF(COUNTIF($B$2:B43, B43)=1, MAX($C$1:C42)+1, VLOOKUP(B43, $B$2:C43, 2, 0))</f>
        <v>21</v>
      </c>
      <c r="D43" s="13" t="s">
        <v>129</v>
      </c>
      <c r="E43" s="14" t="s">
        <v>23</v>
      </c>
      <c r="F43" s="14" t="s">
        <v>172</v>
      </c>
      <c r="G43" s="3"/>
      <c r="I43" s="2"/>
      <c r="J43" s="2"/>
      <c r="K43" s="6"/>
      <c r="L43" s="6"/>
    </row>
    <row r="44" spans="1:12" ht="14.4" x14ac:dyDescent="0.25">
      <c r="A44" s="2" t="str">
        <f t="shared" si="0"/>
        <v>改</v>
      </c>
      <c r="B44" s="2" t="s">
        <v>68</v>
      </c>
      <c r="C44">
        <f>IF(COUNTIF($B$2:B44, B44)=1, MAX($C$1:C43)+1, VLOOKUP(B44, $B$2:C44, 2, 0))</f>
        <v>21</v>
      </c>
      <c r="D44" s="13" t="s">
        <v>129</v>
      </c>
      <c r="E44" s="14" t="s">
        <v>23</v>
      </c>
      <c r="F44" s="14" t="s">
        <v>172</v>
      </c>
      <c r="G44" s="3"/>
      <c r="I44" s="2"/>
      <c r="J44" s="2"/>
      <c r="K44" s="6"/>
      <c r="L44" s="6"/>
    </row>
    <row r="45" spans="1:12" ht="14.4" x14ac:dyDescent="0.25">
      <c r="A45" s="2" t="str">
        <f t="shared" si="0"/>
        <v>改</v>
      </c>
      <c r="B45" s="2" t="s">
        <v>70</v>
      </c>
      <c r="C45">
        <f>IF(COUNTIF($B$2:B45, B45)=1, MAX($C$1:C44)+1, VLOOKUP(B45, $B$2:C45, 2, 0))</f>
        <v>22</v>
      </c>
      <c r="D45" s="13" t="s">
        <v>135</v>
      </c>
      <c r="E45" s="14" t="s">
        <v>24</v>
      </c>
      <c r="F45" s="14" t="s">
        <v>172</v>
      </c>
      <c r="G45" s="3"/>
      <c r="I45" s="2"/>
      <c r="J45" s="2"/>
      <c r="K45" s="6"/>
      <c r="L45" s="6"/>
    </row>
    <row r="46" spans="1:12" ht="14.4" x14ac:dyDescent="0.25">
      <c r="A46" s="2" t="str">
        <f t="shared" si="0"/>
        <v>改</v>
      </c>
      <c r="B46" s="2" t="s">
        <v>76</v>
      </c>
      <c r="C46">
        <f>IF(COUNTIF($B$2:B46, B46)=1, MAX($C$1:C45)+1, VLOOKUP(B46, $B$2:C46, 2, 0))</f>
        <v>26</v>
      </c>
      <c r="D46" s="13" t="s">
        <v>135</v>
      </c>
      <c r="E46" s="14" t="s">
        <v>24</v>
      </c>
      <c r="F46" s="14" t="s">
        <v>171</v>
      </c>
      <c r="G46" s="3"/>
      <c r="I46" s="2"/>
      <c r="J46" s="2"/>
      <c r="K46" s="6"/>
      <c r="L46" s="6"/>
    </row>
    <row r="47" spans="1:12" ht="14.4" x14ac:dyDescent="0.25">
      <c r="A47" s="2" t="str">
        <f t="shared" si="0"/>
        <v>改</v>
      </c>
      <c r="B47" s="2" t="s">
        <v>68</v>
      </c>
      <c r="C47">
        <f>IF(COUNTIF($B$2:B47, B47)=1, MAX($C$1:C46)+1, VLOOKUP(B47, $B$2:C47, 2, 0))</f>
        <v>21</v>
      </c>
      <c r="D47" s="13" t="s">
        <v>135</v>
      </c>
      <c r="E47" s="14" t="s">
        <v>24</v>
      </c>
      <c r="F47" s="14" t="s">
        <v>172</v>
      </c>
      <c r="G47" s="3"/>
      <c r="I47" s="2"/>
      <c r="J47" s="2"/>
      <c r="K47" s="6"/>
      <c r="L47" s="6"/>
    </row>
    <row r="48" spans="1:12" ht="14.4" x14ac:dyDescent="0.25">
      <c r="A48" s="2" t="str">
        <f t="shared" si="0"/>
        <v>改</v>
      </c>
      <c r="B48" s="2" t="s">
        <v>76</v>
      </c>
      <c r="C48">
        <f>IF(COUNTIF($B$2:B48, B48)=1, MAX($C$1:C47)+1, VLOOKUP(B48, $B$2:C48, 2, 0))</f>
        <v>26</v>
      </c>
      <c r="D48" s="13" t="s">
        <v>135</v>
      </c>
      <c r="E48" s="14" t="s">
        <v>24</v>
      </c>
      <c r="F48" s="14" t="s">
        <v>172</v>
      </c>
      <c r="G48" s="3"/>
      <c r="I48" s="2"/>
      <c r="J48" s="2"/>
      <c r="K48" s="6"/>
      <c r="L48" s="6"/>
    </row>
    <row r="49" spans="1:12" ht="14.4" x14ac:dyDescent="0.25">
      <c r="A49" s="2" t="str">
        <f t="shared" si="0"/>
        <v>改</v>
      </c>
      <c r="B49" s="2" t="s">
        <v>79</v>
      </c>
      <c r="C49">
        <f>IF(COUNTIF($B$2:B49, B49)=1, MAX($C$1:C48)+1, VLOOKUP(B49, $B$2:C49, 2, 0))</f>
        <v>27</v>
      </c>
      <c r="D49" s="13" t="s">
        <v>135</v>
      </c>
      <c r="E49" s="14" t="s">
        <v>25</v>
      </c>
      <c r="F49" s="14" t="s">
        <v>171</v>
      </c>
      <c r="G49" s="3"/>
      <c r="I49" s="2"/>
      <c r="J49" s="2"/>
      <c r="K49" s="6"/>
      <c r="L49" s="6"/>
    </row>
    <row r="50" spans="1:12" ht="14.4" x14ac:dyDescent="0.25">
      <c r="A50" s="2" t="str">
        <f t="shared" si="0"/>
        <v>改</v>
      </c>
      <c r="B50" s="2" t="s">
        <v>80</v>
      </c>
      <c r="C50">
        <f>IF(COUNTIF($B$2:B50, B50)=1, MAX($C$1:C49)+1, VLOOKUP(B50, $B$2:C50, 2, 0))</f>
        <v>28</v>
      </c>
      <c r="D50" s="13" t="s">
        <v>135</v>
      </c>
      <c r="E50" s="14" t="s">
        <v>25</v>
      </c>
      <c r="F50" s="14" t="s">
        <v>171</v>
      </c>
      <c r="G50" s="3"/>
      <c r="I50" s="2"/>
      <c r="J50" s="2"/>
      <c r="K50" s="6"/>
      <c r="L50" s="6"/>
    </row>
    <row r="51" spans="1:12" ht="14.4" x14ac:dyDescent="0.25">
      <c r="A51" s="2" t="str">
        <f t="shared" si="0"/>
        <v>改</v>
      </c>
      <c r="B51" s="2" t="s">
        <v>81</v>
      </c>
      <c r="C51">
        <f>IF(COUNTIF($B$2:B51, B51)=1, MAX($C$1:C50)+1, VLOOKUP(B51, $B$2:C51, 2, 0))</f>
        <v>29</v>
      </c>
      <c r="D51" s="13" t="s">
        <v>135</v>
      </c>
      <c r="E51" s="14" t="s">
        <v>25</v>
      </c>
      <c r="F51" s="14" t="s">
        <v>171</v>
      </c>
      <c r="G51" s="3"/>
      <c r="I51" s="2"/>
      <c r="J51" s="2"/>
      <c r="K51" s="2"/>
      <c r="L51" s="6"/>
    </row>
    <row r="52" spans="1:12" ht="14.4" x14ac:dyDescent="0.25">
      <c r="A52" s="2" t="str">
        <f t="shared" si="0"/>
        <v>改</v>
      </c>
      <c r="B52" s="2" t="s">
        <v>82</v>
      </c>
      <c r="C52">
        <f>IF(COUNTIF($B$2:B52, B52)=1, MAX($C$1:C51)+1, VLOOKUP(B52, $B$2:C52, 2, 0))</f>
        <v>30</v>
      </c>
      <c r="D52" s="13" t="s">
        <v>135</v>
      </c>
      <c r="E52" s="14" t="s">
        <v>25</v>
      </c>
      <c r="F52" s="14" t="s">
        <v>171</v>
      </c>
      <c r="G52" s="3"/>
      <c r="I52" s="2"/>
      <c r="J52" s="2"/>
      <c r="K52" s="2"/>
      <c r="L52" s="6"/>
    </row>
    <row r="53" spans="1:12" ht="14.4" x14ac:dyDescent="0.25">
      <c r="A53" s="2" t="str">
        <f t="shared" si="0"/>
        <v>改</v>
      </c>
      <c r="B53" s="2" t="s">
        <v>83</v>
      </c>
      <c r="C53">
        <f>IF(COUNTIF($B$2:B53, B53)=1, MAX($C$1:C52)+1, VLOOKUP(B53, $B$2:C53, 2, 0))</f>
        <v>31</v>
      </c>
      <c r="D53" s="13" t="s">
        <v>62</v>
      </c>
      <c r="E53" s="14">
        <v>3.3</v>
      </c>
      <c r="F53" s="14" t="s">
        <v>171</v>
      </c>
      <c r="G53" s="3"/>
      <c r="I53" s="2"/>
      <c r="J53" s="2"/>
      <c r="K53" s="2"/>
      <c r="L53" s="6"/>
    </row>
    <row r="54" spans="1:12" ht="14.4" x14ac:dyDescent="0.25">
      <c r="A54" s="2" t="str">
        <f t="shared" si="0"/>
        <v>改</v>
      </c>
      <c r="B54" s="2" t="s">
        <v>84</v>
      </c>
      <c r="C54">
        <f>IF(COUNTIF($B$2:B54, B54)=1, MAX($C$1:C53)+1, VLOOKUP(B54, $B$2:C54, 2, 0))</f>
        <v>32</v>
      </c>
      <c r="D54" s="13" t="s">
        <v>63</v>
      </c>
      <c r="E54" s="14" t="s">
        <v>7</v>
      </c>
      <c r="F54" s="14" t="s">
        <v>171</v>
      </c>
      <c r="G54" s="3"/>
      <c r="I54" s="2"/>
      <c r="J54" s="2"/>
      <c r="K54" s="2"/>
      <c r="L54" s="6"/>
    </row>
    <row r="55" spans="1:12" ht="14.4" x14ac:dyDescent="0.25">
      <c r="A55" s="2" t="str">
        <f t="shared" si="0"/>
        <v>改</v>
      </c>
      <c r="B55" s="2" t="s">
        <v>85</v>
      </c>
      <c r="C55">
        <f>IF(COUNTIF($B$2:B55, B55)=1, MAX($C$1:C54)+1, VLOOKUP(B55, $B$2:C55, 2, 0))</f>
        <v>33</v>
      </c>
      <c r="D55" s="13" t="s">
        <v>63</v>
      </c>
      <c r="E55" s="14" t="s">
        <v>7</v>
      </c>
      <c r="F55" s="14" t="s">
        <v>171</v>
      </c>
      <c r="G55" s="3"/>
      <c r="I55" s="2"/>
      <c r="J55" s="2"/>
      <c r="K55" s="2"/>
      <c r="L55" s="6"/>
    </row>
    <row r="56" spans="1:12" ht="14.4" x14ac:dyDescent="0.25">
      <c r="A56" s="2" t="str">
        <f t="shared" si="0"/>
        <v>改</v>
      </c>
      <c r="B56" s="2" t="s">
        <v>86</v>
      </c>
      <c r="C56">
        <f>IF(COUNTIF($B$2:B56, B56)=1, MAX($C$1:C55)+1, VLOOKUP(B56, $B$2:C56, 2, 0))</f>
        <v>34</v>
      </c>
      <c r="D56" s="13" t="s">
        <v>63</v>
      </c>
      <c r="E56" s="14" t="s">
        <v>7</v>
      </c>
      <c r="F56" s="14" t="s">
        <v>171</v>
      </c>
      <c r="G56" s="3"/>
      <c r="I56" s="2"/>
      <c r="J56" s="2"/>
      <c r="K56" s="2"/>
      <c r="L56" s="6"/>
    </row>
    <row r="57" spans="1:12" ht="14.4" x14ac:dyDescent="0.25">
      <c r="A57" s="2" t="str">
        <f t="shared" si="0"/>
        <v>改</v>
      </c>
      <c r="B57" s="2" t="s">
        <v>87</v>
      </c>
      <c r="C57">
        <f>IF(COUNTIF($B$2:B57, B57)=1, MAX($C$1:C56)+1, VLOOKUP(B57, $B$2:C57, 2, 0))</f>
        <v>35</v>
      </c>
      <c r="D57" s="13" t="s">
        <v>67</v>
      </c>
      <c r="E57" s="14" t="s">
        <v>9</v>
      </c>
      <c r="F57" s="14" t="s">
        <v>171</v>
      </c>
      <c r="G57" s="3"/>
      <c r="I57" s="2"/>
      <c r="J57" s="2"/>
      <c r="K57" s="2"/>
      <c r="L57" s="6"/>
    </row>
    <row r="58" spans="1:12" ht="14.4" x14ac:dyDescent="0.25">
      <c r="A58" s="2" t="str">
        <f t="shared" si="0"/>
        <v>改</v>
      </c>
      <c r="B58" s="2" t="s">
        <v>89</v>
      </c>
      <c r="C58">
        <f>IF(COUNTIF($B$2:B58, B58)=1, MAX($C$1:C57)+1, VLOOKUP(B58, $B$2:C58, 2, 0))</f>
        <v>36</v>
      </c>
      <c r="D58" s="13" t="s">
        <v>74</v>
      </c>
      <c r="E58" s="14" t="s">
        <v>11</v>
      </c>
      <c r="F58" s="14" t="s">
        <v>171</v>
      </c>
      <c r="G58" s="3"/>
      <c r="I58" s="2"/>
      <c r="J58" s="2"/>
      <c r="K58" s="2"/>
      <c r="L58" s="6"/>
    </row>
    <row r="59" spans="1:12" ht="14.4" x14ac:dyDescent="0.25">
      <c r="A59" s="2" t="str">
        <f t="shared" si="0"/>
        <v>改</v>
      </c>
      <c r="B59" s="2" t="s">
        <v>90</v>
      </c>
      <c r="C59">
        <f>IF(COUNTIF($B$2:B59, B59)=1, MAX($C$1:C58)+1, VLOOKUP(B59, $B$2:C59, 2, 0))</f>
        <v>37</v>
      </c>
      <c r="D59" s="13" t="s">
        <v>67</v>
      </c>
      <c r="E59" s="14" t="s">
        <v>9</v>
      </c>
      <c r="F59" s="14" t="s">
        <v>171</v>
      </c>
      <c r="G59" s="3"/>
      <c r="I59" s="2"/>
      <c r="J59" s="2"/>
      <c r="K59" s="6"/>
      <c r="L59" s="6"/>
    </row>
    <row r="60" spans="1:12" ht="14.4" x14ac:dyDescent="0.25">
      <c r="A60" s="2" t="str">
        <f t="shared" si="0"/>
        <v>改</v>
      </c>
      <c r="B60" s="2" t="s">
        <v>91</v>
      </c>
      <c r="C60">
        <f>IF(COUNTIF($B$2:B60, B60)=1, MAX($C$1:C59)+1, VLOOKUP(B60, $B$2:C60, 2, 0))</f>
        <v>38</v>
      </c>
      <c r="D60" s="13" t="s">
        <v>74</v>
      </c>
      <c r="E60" s="14" t="s">
        <v>11</v>
      </c>
      <c r="F60" s="14" t="s">
        <v>171</v>
      </c>
      <c r="G60" s="3"/>
      <c r="I60" s="2"/>
      <c r="J60" s="2"/>
      <c r="K60" s="6"/>
      <c r="L60" s="6"/>
    </row>
    <row r="61" spans="1:12" ht="14.4" x14ac:dyDescent="0.25">
      <c r="A61" s="2" t="str">
        <f t="shared" si="0"/>
        <v>改</v>
      </c>
      <c r="B61" s="2" t="s">
        <v>92</v>
      </c>
      <c r="C61">
        <f>IF(COUNTIF($B$2:B61, B61)=1, MAX($C$1:C60)+1, VLOOKUP(B61, $B$2:C61, 2, 0))</f>
        <v>39</v>
      </c>
      <c r="D61" s="13" t="s">
        <v>74</v>
      </c>
      <c r="E61" s="14" t="s">
        <v>11</v>
      </c>
      <c r="F61" s="14" t="s">
        <v>171</v>
      </c>
      <c r="G61" s="3"/>
      <c r="I61" s="2"/>
      <c r="J61" s="2"/>
      <c r="K61" s="6"/>
      <c r="L61" s="6"/>
    </row>
    <row r="62" spans="1:12" ht="14.4" x14ac:dyDescent="0.25">
      <c r="A62" s="2" t="str">
        <f t="shared" si="0"/>
        <v>改</v>
      </c>
      <c r="B62" s="2" t="s">
        <v>93</v>
      </c>
      <c r="C62">
        <f>IF(COUNTIF($B$2:B62, B62)=1, MAX($C$1:C61)+1, VLOOKUP(B62, $B$2:C62, 2, 0))</f>
        <v>40</v>
      </c>
      <c r="D62" s="13" t="s">
        <v>74</v>
      </c>
      <c r="E62" s="14" t="s">
        <v>11</v>
      </c>
      <c r="F62" s="14" t="s">
        <v>171</v>
      </c>
      <c r="G62" s="3"/>
      <c r="I62" s="2"/>
      <c r="J62" s="2"/>
      <c r="K62" s="6"/>
      <c r="L62" s="6"/>
    </row>
    <row r="63" spans="1:12" ht="14.4" x14ac:dyDescent="0.25">
      <c r="A63" s="2" t="str">
        <f t="shared" si="0"/>
        <v>改</v>
      </c>
      <c r="B63" s="2" t="s">
        <v>94</v>
      </c>
      <c r="C63">
        <f>IF(COUNTIF($B$2:B63, B63)=1, MAX($C$1:C62)+1, VLOOKUP(B63, $B$2:C63, 2, 0))</f>
        <v>41</v>
      </c>
      <c r="D63" s="13" t="s">
        <v>77</v>
      </c>
      <c r="E63" s="14" t="s">
        <v>13</v>
      </c>
      <c r="F63" s="14" t="s">
        <v>171</v>
      </c>
      <c r="G63" s="3"/>
      <c r="I63" s="2"/>
      <c r="J63" s="2"/>
      <c r="K63" s="6"/>
      <c r="L63" s="6"/>
    </row>
    <row r="64" spans="1:12" ht="14.4" x14ac:dyDescent="0.25">
      <c r="A64" s="2" t="str">
        <f t="shared" si="0"/>
        <v>改</v>
      </c>
      <c r="B64" s="2" t="s">
        <v>95</v>
      </c>
      <c r="C64">
        <f>IF(COUNTIF($B$2:B64, B64)=1, MAX($C$1:C63)+1, VLOOKUP(B64, $B$2:C64, 2, 0))</f>
        <v>42</v>
      </c>
      <c r="D64" s="13" t="s">
        <v>65</v>
      </c>
      <c r="E64" s="14" t="s">
        <v>8</v>
      </c>
      <c r="F64" s="14" t="s">
        <v>171</v>
      </c>
      <c r="G64" s="3"/>
      <c r="I64" s="2"/>
      <c r="J64" s="2"/>
      <c r="K64" s="6"/>
      <c r="L64" s="6"/>
    </row>
    <row r="65" spans="1:12" ht="14.4" x14ac:dyDescent="0.25">
      <c r="A65" s="2" t="str">
        <f t="shared" si="0"/>
        <v>改</v>
      </c>
      <c r="B65" s="2" t="s">
        <v>96</v>
      </c>
      <c r="C65">
        <f>IF(COUNTIF($B$2:B65, B65)=1, MAX($C$1:C64)+1, VLOOKUP(B65, $B$2:C65, 2, 0))</f>
        <v>43</v>
      </c>
      <c r="D65" s="13" t="s">
        <v>69</v>
      </c>
      <c r="E65" s="14" t="s">
        <v>10</v>
      </c>
      <c r="F65" s="14" t="s">
        <v>171</v>
      </c>
      <c r="G65" s="3"/>
      <c r="I65" s="2"/>
      <c r="J65" s="2"/>
      <c r="K65" s="6"/>
      <c r="L65" s="6"/>
    </row>
    <row r="66" spans="1:12" ht="14.4" x14ac:dyDescent="0.25">
      <c r="A66" s="2" t="str">
        <f t="shared" si="0"/>
        <v>改</v>
      </c>
      <c r="B66" s="2" t="s">
        <v>97</v>
      </c>
      <c r="C66">
        <f>IF(COUNTIF($B$2:B66, B66)=1, MAX($C$1:C65)+1, VLOOKUP(B66, $B$2:C66, 2, 0))</f>
        <v>44</v>
      </c>
      <c r="D66" s="13" t="s">
        <v>77</v>
      </c>
      <c r="E66" s="14" t="s">
        <v>13</v>
      </c>
      <c r="F66" s="14" t="s">
        <v>171</v>
      </c>
      <c r="G66" s="3"/>
      <c r="I66" s="2"/>
      <c r="J66" s="2"/>
      <c r="K66" s="6"/>
      <c r="L66" s="6"/>
    </row>
    <row r="67" spans="1:12" ht="14.4" x14ac:dyDescent="0.25">
      <c r="A67" s="2" t="str">
        <f t="shared" ref="A67:A130" si="1">IF(VALUE(C67)=VALUE(MID(B67,2,LEN(B67)-2)), "不改", "改")</f>
        <v>改</v>
      </c>
      <c r="B67" s="2" t="s">
        <v>98</v>
      </c>
      <c r="C67">
        <f>IF(COUNTIF($B$2:B67, B67)=1, MAX($C$1:C66)+1, VLOOKUP(B67, $B$2:C67, 2, 0))</f>
        <v>45</v>
      </c>
      <c r="D67" s="13" t="s">
        <v>78</v>
      </c>
      <c r="E67" s="14" t="s">
        <v>13</v>
      </c>
      <c r="F67" s="14" t="s">
        <v>171</v>
      </c>
      <c r="G67" s="3"/>
      <c r="I67" s="2"/>
      <c r="J67" s="2"/>
      <c r="K67" s="6"/>
      <c r="L67" s="6"/>
    </row>
    <row r="68" spans="1:12" ht="14.4" x14ac:dyDescent="0.25">
      <c r="A68" s="2" t="str">
        <f t="shared" si="1"/>
        <v>改</v>
      </c>
      <c r="B68" s="2" t="s">
        <v>100</v>
      </c>
      <c r="C68">
        <f>IF(COUNTIF($B$2:B68, B68)=1, MAX($C$1:C67)+1, VLOOKUP(B68, $B$2:C68, 2, 0))</f>
        <v>46</v>
      </c>
      <c r="D68" s="13" t="s">
        <v>69</v>
      </c>
      <c r="E68" s="14" t="s">
        <v>10</v>
      </c>
      <c r="F68" s="14" t="s">
        <v>171</v>
      </c>
      <c r="G68" s="3"/>
      <c r="I68" s="2"/>
      <c r="J68" s="2"/>
      <c r="K68" s="6"/>
      <c r="L68" s="6"/>
    </row>
    <row r="69" spans="1:12" ht="14.4" x14ac:dyDescent="0.25">
      <c r="A69" s="2" t="str">
        <f t="shared" si="1"/>
        <v>改</v>
      </c>
      <c r="B69" s="2" t="s">
        <v>101</v>
      </c>
      <c r="C69">
        <f>IF(COUNTIF($B$2:B69, B69)=1, MAX($C$1:C68)+1, VLOOKUP(B69, $B$2:C69, 2, 0))</f>
        <v>47</v>
      </c>
      <c r="D69" s="13" t="s">
        <v>75</v>
      </c>
      <c r="E69" s="14" t="s">
        <v>12</v>
      </c>
      <c r="F69" s="14" t="s">
        <v>171</v>
      </c>
      <c r="G69" s="3"/>
      <c r="I69" s="2"/>
      <c r="J69" s="2"/>
      <c r="K69" s="6"/>
      <c r="L69" s="6"/>
    </row>
    <row r="70" spans="1:12" ht="14.4" x14ac:dyDescent="0.25">
      <c r="A70" s="2" t="str">
        <f t="shared" si="1"/>
        <v>改</v>
      </c>
      <c r="B70" s="2" t="s">
        <v>102</v>
      </c>
      <c r="C70">
        <f>IF(COUNTIF($B$2:B70, B70)=1, MAX($C$1:C69)+1, VLOOKUP(B70, $B$2:C70, 2, 0))</f>
        <v>48</v>
      </c>
      <c r="D70" s="13" t="s">
        <v>69</v>
      </c>
      <c r="E70" s="14" t="s">
        <v>10</v>
      </c>
      <c r="F70" s="14" t="s">
        <v>171</v>
      </c>
      <c r="G70" s="3"/>
      <c r="I70" s="2"/>
      <c r="J70" s="2"/>
      <c r="K70" s="6"/>
      <c r="L70" s="6"/>
    </row>
    <row r="71" spans="1:12" ht="14.4" x14ac:dyDescent="0.25">
      <c r="A71" s="2" t="str">
        <f t="shared" si="1"/>
        <v>改</v>
      </c>
      <c r="B71" s="2" t="s">
        <v>103</v>
      </c>
      <c r="C71">
        <f>IF(COUNTIF($B$2:B71, B71)=1, MAX($C$1:C70)+1, VLOOKUP(B71, $B$2:C71, 2, 0))</f>
        <v>49</v>
      </c>
      <c r="D71" s="13" t="s">
        <v>69</v>
      </c>
      <c r="E71" s="14" t="s">
        <v>10</v>
      </c>
      <c r="F71" s="14" t="s">
        <v>171</v>
      </c>
      <c r="G71" s="3"/>
      <c r="I71" s="2"/>
      <c r="J71" s="2"/>
      <c r="K71" s="6"/>
      <c r="L71" s="6"/>
    </row>
    <row r="72" spans="1:12" ht="14.4" x14ac:dyDescent="0.25">
      <c r="A72" s="2" t="str">
        <f t="shared" si="1"/>
        <v>改</v>
      </c>
      <c r="B72" s="2" t="s">
        <v>104</v>
      </c>
      <c r="C72">
        <f>IF(COUNTIF($B$2:B72, B72)=1, MAX($C$1:C71)+1, VLOOKUP(B72, $B$2:C72, 2, 0))</f>
        <v>50</v>
      </c>
      <c r="D72" s="13" t="s">
        <v>69</v>
      </c>
      <c r="E72" s="14" t="s">
        <v>10</v>
      </c>
      <c r="F72" s="14" t="s">
        <v>171</v>
      </c>
      <c r="G72" s="3"/>
      <c r="I72" s="2"/>
      <c r="J72" s="2"/>
      <c r="K72" s="6"/>
      <c r="L72" s="6"/>
    </row>
    <row r="73" spans="1:12" ht="14.4" x14ac:dyDescent="0.25">
      <c r="A73" s="2" t="str">
        <f t="shared" si="1"/>
        <v>改</v>
      </c>
      <c r="B73" s="2" t="s">
        <v>105</v>
      </c>
      <c r="C73">
        <f>IF(COUNTIF($B$2:B73, B73)=1, MAX($C$1:C72)+1, VLOOKUP(B73, $B$2:C73, 2, 0))</f>
        <v>51</v>
      </c>
      <c r="D73" s="13" t="s">
        <v>157</v>
      </c>
      <c r="E73" s="14" t="s">
        <v>26</v>
      </c>
      <c r="F73" s="14" t="s">
        <v>171</v>
      </c>
      <c r="G73" s="3"/>
      <c r="I73" s="2"/>
      <c r="J73" s="2"/>
      <c r="K73" s="6"/>
      <c r="L73" s="6"/>
    </row>
    <row r="74" spans="1:12" ht="14.4" x14ac:dyDescent="0.25">
      <c r="A74" s="2" t="str">
        <f t="shared" si="1"/>
        <v>改</v>
      </c>
      <c r="B74" s="2" t="s">
        <v>106</v>
      </c>
      <c r="C74">
        <f>IF(COUNTIF($B$2:B74, B74)=1, MAX($C$1:C73)+1, VLOOKUP(B74, $B$2:C74, 2, 0))</f>
        <v>52</v>
      </c>
      <c r="D74" s="13" t="s">
        <v>78</v>
      </c>
      <c r="E74" s="14" t="s">
        <v>13</v>
      </c>
      <c r="F74" s="14" t="s">
        <v>171</v>
      </c>
      <c r="G74" s="3"/>
      <c r="I74" s="2"/>
      <c r="J74" s="2"/>
      <c r="K74" s="6"/>
      <c r="L74" s="6"/>
    </row>
    <row r="75" spans="1:12" ht="14.4" x14ac:dyDescent="0.25">
      <c r="A75" s="2" t="str">
        <f t="shared" si="1"/>
        <v>改</v>
      </c>
      <c r="B75" s="2" t="s">
        <v>107</v>
      </c>
      <c r="C75">
        <f>IF(COUNTIF($B$2:B75, B75)=1, MAX($C$1:C74)+1, VLOOKUP(B75, $B$2:C75, 2, 0))</f>
        <v>53</v>
      </c>
      <c r="D75" s="13" t="s">
        <v>78</v>
      </c>
      <c r="E75" s="14" t="s">
        <v>13</v>
      </c>
      <c r="F75" s="14" t="s">
        <v>171</v>
      </c>
      <c r="G75" s="3"/>
      <c r="I75" s="2"/>
      <c r="J75" s="2"/>
      <c r="K75" s="6"/>
      <c r="L75" s="6"/>
    </row>
    <row r="76" spans="1:12" ht="14.4" x14ac:dyDescent="0.25">
      <c r="A76" s="2" t="str">
        <f t="shared" si="1"/>
        <v>改</v>
      </c>
      <c r="B76" s="2" t="s">
        <v>108</v>
      </c>
      <c r="C76">
        <f>IF(COUNTIF($B$2:B76, B76)=1, MAX($C$1:C75)+1, VLOOKUP(B76, $B$2:C76, 2, 0))</f>
        <v>54</v>
      </c>
      <c r="D76" s="13" t="s">
        <v>78</v>
      </c>
      <c r="E76" s="14" t="s">
        <v>14</v>
      </c>
      <c r="F76" s="14" t="s">
        <v>171</v>
      </c>
      <c r="G76" s="3"/>
      <c r="I76" s="2"/>
      <c r="J76" s="2"/>
      <c r="K76" s="6"/>
      <c r="L76" s="6"/>
    </row>
    <row r="77" spans="1:12" ht="14.4" x14ac:dyDescent="0.25">
      <c r="A77" s="2" t="str">
        <f t="shared" si="1"/>
        <v>改</v>
      </c>
      <c r="B77" s="2" t="s">
        <v>109</v>
      </c>
      <c r="C77">
        <f>IF(COUNTIF($B$2:B77, B77)=1, MAX($C$1:C76)+1, VLOOKUP(B77, $B$2:C77, 2, 0))</f>
        <v>55</v>
      </c>
      <c r="D77" s="13" t="s">
        <v>78</v>
      </c>
      <c r="E77" s="14" t="s">
        <v>14</v>
      </c>
      <c r="F77" s="14" t="s">
        <v>171</v>
      </c>
      <c r="G77" s="3"/>
      <c r="I77" s="2"/>
      <c r="J77" s="2"/>
      <c r="K77" s="6"/>
      <c r="L77" s="6"/>
    </row>
    <row r="78" spans="1:12" ht="14.4" x14ac:dyDescent="0.25">
      <c r="A78" s="2" t="str">
        <f t="shared" si="1"/>
        <v>改</v>
      </c>
      <c r="B78" s="2" t="s">
        <v>110</v>
      </c>
      <c r="C78">
        <f>IF(COUNTIF($B$2:B78, B78)=1, MAX($C$1:C77)+1, VLOOKUP(B78, $B$2:C78, 2, 0))</f>
        <v>56</v>
      </c>
      <c r="D78" s="13" t="s">
        <v>78</v>
      </c>
      <c r="E78" s="14" t="s">
        <v>14</v>
      </c>
      <c r="F78" s="14" t="s">
        <v>171</v>
      </c>
      <c r="G78" s="3"/>
      <c r="I78" s="2"/>
      <c r="J78" s="2"/>
      <c r="K78" s="6"/>
      <c r="L78" s="6"/>
    </row>
    <row r="79" spans="1:12" ht="14.4" x14ac:dyDescent="0.25">
      <c r="A79" s="2" t="str">
        <f t="shared" si="1"/>
        <v>改</v>
      </c>
      <c r="B79" s="2" t="s">
        <v>111</v>
      </c>
      <c r="C79">
        <f>IF(COUNTIF($B$2:B79, B79)=1, MAX($C$1:C78)+1, VLOOKUP(B79, $B$2:C79, 2, 0))</f>
        <v>57</v>
      </c>
      <c r="D79" s="13" t="s">
        <v>78</v>
      </c>
      <c r="E79" s="14" t="s">
        <v>14</v>
      </c>
      <c r="F79" s="14" t="s">
        <v>171</v>
      </c>
      <c r="G79" s="3"/>
      <c r="I79" s="2"/>
      <c r="J79" s="2"/>
      <c r="K79" s="6"/>
      <c r="L79" s="6"/>
    </row>
    <row r="80" spans="1:12" ht="14.4" x14ac:dyDescent="0.25">
      <c r="A80" s="2" t="str">
        <f t="shared" si="1"/>
        <v>改</v>
      </c>
      <c r="B80" s="2" t="s">
        <v>112</v>
      </c>
      <c r="C80">
        <f>IF(COUNTIF($B$2:B80, B80)=1, MAX($C$1:C79)+1, VLOOKUP(B80, $B$2:C80, 2, 0))</f>
        <v>58</v>
      </c>
      <c r="D80" s="13" t="s">
        <v>78</v>
      </c>
      <c r="E80" s="14" t="s">
        <v>14</v>
      </c>
      <c r="F80" s="14" t="s">
        <v>171</v>
      </c>
      <c r="G80" s="3"/>
      <c r="I80" s="2"/>
      <c r="J80" s="2"/>
      <c r="K80" s="6"/>
      <c r="L80" s="6"/>
    </row>
    <row r="81" spans="1:12" ht="14.4" x14ac:dyDescent="0.25">
      <c r="A81" s="2" t="str">
        <f t="shared" si="1"/>
        <v>改</v>
      </c>
      <c r="B81" s="2" t="s">
        <v>114</v>
      </c>
      <c r="C81">
        <f>IF(COUNTIF($B$2:B81, B81)=1, MAX($C$1:C80)+1, VLOOKUP(B81, $B$2:C81, 2, 0))</f>
        <v>59</v>
      </c>
      <c r="D81" s="13" t="s">
        <v>78</v>
      </c>
      <c r="E81" s="14" t="s">
        <v>14</v>
      </c>
      <c r="F81" s="14" t="s">
        <v>171</v>
      </c>
      <c r="G81" s="3"/>
      <c r="I81" s="2"/>
      <c r="J81" s="2"/>
      <c r="K81" s="6"/>
      <c r="L81" s="6"/>
    </row>
    <row r="82" spans="1:12" ht="14.4" x14ac:dyDescent="0.25">
      <c r="A82" s="2" t="str">
        <f t="shared" si="1"/>
        <v>改</v>
      </c>
      <c r="B82" s="2" t="s">
        <v>116</v>
      </c>
      <c r="C82">
        <f>IF(COUNTIF($B$2:B82, B82)=1, MAX($C$1:C81)+1, VLOOKUP(B82, $B$2:C82, 2, 0))</f>
        <v>60</v>
      </c>
      <c r="D82" s="13" t="s">
        <v>88</v>
      </c>
      <c r="E82" s="14" t="s">
        <v>14</v>
      </c>
      <c r="F82" s="14" t="s">
        <v>171</v>
      </c>
      <c r="G82" s="3"/>
      <c r="I82" s="2"/>
      <c r="J82" s="2"/>
      <c r="K82" s="6"/>
      <c r="L82" s="6"/>
    </row>
    <row r="83" spans="1:12" ht="14.4" x14ac:dyDescent="0.25">
      <c r="A83" s="2" t="str">
        <f t="shared" si="1"/>
        <v>改</v>
      </c>
      <c r="B83" s="2" t="s">
        <v>117</v>
      </c>
      <c r="C83">
        <f>IF(COUNTIF($B$2:B83, B83)=1, MAX($C$1:C82)+1, VLOOKUP(B83, $B$2:C83, 2, 0))</f>
        <v>61</v>
      </c>
      <c r="D83" s="13" t="s">
        <v>88</v>
      </c>
      <c r="E83" s="14" t="s">
        <v>14</v>
      </c>
      <c r="F83" s="14" t="s">
        <v>171</v>
      </c>
      <c r="G83" s="3"/>
      <c r="I83" s="2"/>
      <c r="J83" s="2"/>
      <c r="K83" s="6"/>
      <c r="L83" s="6"/>
    </row>
    <row r="84" spans="1:12" ht="14.4" x14ac:dyDescent="0.25">
      <c r="A84" s="2" t="str">
        <f t="shared" si="1"/>
        <v>改</v>
      </c>
      <c r="B84" s="2" t="s">
        <v>118</v>
      </c>
      <c r="C84">
        <f>IF(COUNTIF($B$2:B84, B84)=1, MAX($C$1:C83)+1, VLOOKUP(B84, $B$2:C84, 2, 0))</f>
        <v>62</v>
      </c>
      <c r="D84" s="13" t="s">
        <v>88</v>
      </c>
      <c r="E84" s="14" t="s">
        <v>15</v>
      </c>
      <c r="F84" s="14" t="s">
        <v>171</v>
      </c>
      <c r="G84" s="3"/>
      <c r="I84" s="2"/>
      <c r="J84" s="2"/>
      <c r="K84" s="6"/>
      <c r="L84" s="6"/>
    </row>
    <row r="85" spans="1:12" ht="14.4" x14ac:dyDescent="0.25">
      <c r="A85" s="2" t="str">
        <f t="shared" si="1"/>
        <v>改</v>
      </c>
      <c r="B85" s="2" t="s">
        <v>119</v>
      </c>
      <c r="C85">
        <f>IF(COUNTIF($B$2:B85, B85)=1, MAX($C$1:C84)+1, VLOOKUP(B85, $B$2:C85, 2, 0))</f>
        <v>63</v>
      </c>
      <c r="D85" s="13" t="s">
        <v>88</v>
      </c>
      <c r="E85" s="14" t="s">
        <v>15</v>
      </c>
      <c r="F85" s="14" t="s">
        <v>171</v>
      </c>
      <c r="G85" s="3"/>
      <c r="I85" s="2"/>
      <c r="J85" s="2"/>
      <c r="K85" s="6"/>
      <c r="L85" s="6"/>
    </row>
    <row r="86" spans="1:12" ht="14.4" x14ac:dyDescent="0.25">
      <c r="A86" s="2" t="str">
        <f t="shared" si="1"/>
        <v>改</v>
      </c>
      <c r="B86" s="2" t="s">
        <v>121</v>
      </c>
      <c r="C86">
        <f>IF(COUNTIF($B$2:B86, B86)=1, MAX($C$1:C85)+1, VLOOKUP(B86, $B$2:C86, 2, 0))</f>
        <v>64</v>
      </c>
      <c r="D86" s="13" t="s">
        <v>88</v>
      </c>
      <c r="E86" s="14" t="s">
        <v>15</v>
      </c>
      <c r="F86" s="14" t="s">
        <v>171</v>
      </c>
      <c r="G86" s="3"/>
      <c r="I86" s="2"/>
      <c r="J86" s="2"/>
      <c r="K86" s="6"/>
      <c r="L86" s="6"/>
    </row>
    <row r="87" spans="1:12" ht="14.4" x14ac:dyDescent="0.25">
      <c r="A87" s="2" t="str">
        <f t="shared" si="1"/>
        <v>改</v>
      </c>
      <c r="B87" s="2" t="s">
        <v>122</v>
      </c>
      <c r="C87">
        <f>IF(COUNTIF($B$2:B87, B87)=1, MAX($C$1:C86)+1, VLOOKUP(B87, $B$2:C87, 2, 0))</f>
        <v>65</v>
      </c>
      <c r="D87" s="13" t="s">
        <v>88</v>
      </c>
      <c r="E87" s="14" t="s">
        <v>15</v>
      </c>
      <c r="F87" s="14" t="s">
        <v>171</v>
      </c>
      <c r="G87" s="3"/>
      <c r="I87" s="2"/>
      <c r="J87" s="2"/>
      <c r="K87" s="6"/>
      <c r="L87" s="6"/>
    </row>
    <row r="88" spans="1:12" ht="14.4" x14ac:dyDescent="0.25">
      <c r="A88" s="2" t="str">
        <f t="shared" si="1"/>
        <v>改</v>
      </c>
      <c r="B88" s="2" t="s">
        <v>123</v>
      </c>
      <c r="C88">
        <f>IF(COUNTIF($B$2:B88, B88)=1, MAX($C$1:C87)+1, VLOOKUP(B88, $B$2:C88, 2, 0))</f>
        <v>66</v>
      </c>
      <c r="D88" s="13" t="s">
        <v>88</v>
      </c>
      <c r="E88" s="14" t="s">
        <v>15</v>
      </c>
      <c r="F88" s="14" t="s">
        <v>171</v>
      </c>
      <c r="G88" s="3"/>
      <c r="I88" s="2"/>
      <c r="J88" s="2"/>
      <c r="K88" s="6"/>
      <c r="L88" s="6"/>
    </row>
    <row r="89" spans="1:12" ht="14.4" x14ac:dyDescent="0.25">
      <c r="A89" s="2" t="str">
        <f t="shared" si="1"/>
        <v>不改</v>
      </c>
      <c r="B89" s="2" t="s">
        <v>50</v>
      </c>
      <c r="C89">
        <f>IF(COUNTIF($B$2:B89, B89)=1, MAX($C$1:C88)+1, VLOOKUP(B89, $B$2:C89, 2, 0))</f>
        <v>12</v>
      </c>
      <c r="D89" s="13" t="s">
        <v>88</v>
      </c>
      <c r="E89" s="14" t="s">
        <v>15</v>
      </c>
      <c r="F89" s="14" t="s">
        <v>172</v>
      </c>
      <c r="G89" s="3"/>
      <c r="I89" s="2"/>
      <c r="J89" s="2"/>
      <c r="K89" s="6"/>
      <c r="L89" s="6"/>
    </row>
    <row r="90" spans="1:12" ht="14.4" x14ac:dyDescent="0.25">
      <c r="A90" s="2" t="str">
        <f t="shared" si="1"/>
        <v>改</v>
      </c>
      <c r="B90" s="2" t="s">
        <v>55</v>
      </c>
      <c r="C90">
        <f>IF(COUNTIF($B$2:B90, B90)=1, MAX($C$1:C89)+1, VLOOKUP(B90, $B$2:C90, 2, 0))</f>
        <v>14</v>
      </c>
      <c r="D90" s="13" t="s">
        <v>88</v>
      </c>
      <c r="E90" s="14" t="s">
        <v>15</v>
      </c>
      <c r="F90" s="14" t="s">
        <v>172</v>
      </c>
      <c r="G90" s="3"/>
      <c r="I90" s="2"/>
      <c r="J90" s="2"/>
      <c r="K90" s="6"/>
      <c r="L90" s="6"/>
    </row>
    <row r="91" spans="1:12" ht="14.4" x14ac:dyDescent="0.25">
      <c r="A91" s="2" t="str">
        <f t="shared" si="1"/>
        <v>不改</v>
      </c>
      <c r="B91" s="2" t="s">
        <v>56</v>
      </c>
      <c r="C91">
        <f>IF(COUNTIF($B$2:B91, B91)=1, MAX($C$1:C90)+1, VLOOKUP(B91, $B$2:C91, 2, 0))</f>
        <v>15</v>
      </c>
      <c r="D91" s="13" t="s">
        <v>88</v>
      </c>
      <c r="E91" s="14" t="s">
        <v>15</v>
      </c>
      <c r="F91" s="14" t="s">
        <v>172</v>
      </c>
      <c r="G91" s="3"/>
      <c r="I91" s="2"/>
      <c r="J91" s="2"/>
      <c r="K91" s="6"/>
      <c r="L91" s="6"/>
    </row>
    <row r="92" spans="1:12" ht="14.4" x14ac:dyDescent="0.25">
      <c r="A92" s="2" t="str">
        <f t="shared" si="1"/>
        <v>改</v>
      </c>
      <c r="B92" s="2" t="s">
        <v>125</v>
      </c>
      <c r="C92">
        <f>IF(COUNTIF($B$2:B92, B92)=1, MAX($C$1:C91)+1, VLOOKUP(B92, $B$2:C92, 2, 0))</f>
        <v>67</v>
      </c>
      <c r="D92" s="13" t="s">
        <v>99</v>
      </c>
      <c r="E92" s="14" t="s">
        <v>15</v>
      </c>
      <c r="F92" s="14" t="s">
        <v>171</v>
      </c>
      <c r="G92" s="3"/>
      <c r="I92" s="2"/>
      <c r="J92" s="2"/>
      <c r="K92" s="6"/>
      <c r="L92" s="6"/>
    </row>
    <row r="93" spans="1:12" ht="14.4" x14ac:dyDescent="0.25">
      <c r="A93" s="2" t="str">
        <f t="shared" si="1"/>
        <v>改</v>
      </c>
      <c r="B93" s="2" t="s">
        <v>126</v>
      </c>
      <c r="C93">
        <f>IF(COUNTIF($B$2:B93, B93)=1, MAX($C$1:C92)+1, VLOOKUP(B93, $B$2:C93, 2, 0))</f>
        <v>68</v>
      </c>
      <c r="D93" s="13" t="s">
        <v>99</v>
      </c>
      <c r="E93" s="14" t="s">
        <v>15</v>
      </c>
      <c r="F93" s="14" t="s">
        <v>171</v>
      </c>
      <c r="G93" s="3"/>
      <c r="I93" s="2"/>
      <c r="J93" s="2"/>
      <c r="K93" s="6"/>
      <c r="L93" s="6"/>
    </row>
    <row r="94" spans="1:12" ht="14.4" x14ac:dyDescent="0.25">
      <c r="A94" s="2" t="str">
        <f t="shared" si="1"/>
        <v>改</v>
      </c>
      <c r="B94" s="2" t="s">
        <v>127</v>
      </c>
      <c r="C94">
        <f>IF(COUNTIF($B$2:B94, B94)=1, MAX($C$1:C93)+1, VLOOKUP(B94, $B$2:C94, 2, 0))</f>
        <v>69</v>
      </c>
      <c r="D94" s="13" t="s">
        <v>99</v>
      </c>
      <c r="E94" s="14" t="s">
        <v>15</v>
      </c>
      <c r="F94" s="14" t="s">
        <v>171</v>
      </c>
      <c r="G94" s="3"/>
      <c r="I94" s="2"/>
      <c r="J94" s="2"/>
      <c r="K94" s="6"/>
      <c r="L94" s="6"/>
    </row>
    <row r="95" spans="1:12" ht="14.4" x14ac:dyDescent="0.25">
      <c r="A95" s="2" t="str">
        <f t="shared" si="1"/>
        <v>改</v>
      </c>
      <c r="B95" s="2" t="s">
        <v>55</v>
      </c>
      <c r="C95">
        <f>IF(COUNTIF($B$2:B95, B95)=1, MAX($C$1:C94)+1, VLOOKUP(B95, $B$2:C95, 2, 0))</f>
        <v>14</v>
      </c>
      <c r="D95" s="13" t="s">
        <v>99</v>
      </c>
      <c r="E95" s="14" t="s">
        <v>15</v>
      </c>
      <c r="F95" s="14" t="s">
        <v>172</v>
      </c>
      <c r="G95" s="3"/>
      <c r="I95" s="2"/>
      <c r="J95" s="2"/>
      <c r="K95" s="6"/>
      <c r="L95" s="6"/>
    </row>
    <row r="96" spans="1:12" ht="14.4" x14ac:dyDescent="0.25">
      <c r="A96" s="2" t="str">
        <f t="shared" si="1"/>
        <v>改</v>
      </c>
      <c r="B96" s="2" t="s">
        <v>128</v>
      </c>
      <c r="C96">
        <f>IF(COUNTIF($B$2:B96, B96)=1, MAX($C$1:C95)+1, VLOOKUP(B96, $B$2:C96, 2, 0))</f>
        <v>70</v>
      </c>
      <c r="D96" s="13" t="s">
        <v>99</v>
      </c>
      <c r="E96" s="14" t="s">
        <v>16</v>
      </c>
      <c r="F96" s="14" t="s">
        <v>171</v>
      </c>
      <c r="G96" s="3"/>
      <c r="I96" s="2"/>
      <c r="J96" s="2"/>
      <c r="K96" s="6"/>
      <c r="L96" s="6"/>
    </row>
    <row r="97" spans="1:12" ht="14.4" x14ac:dyDescent="0.25">
      <c r="A97" s="2" t="str">
        <f t="shared" si="1"/>
        <v>不改</v>
      </c>
      <c r="B97" s="2" t="s">
        <v>50</v>
      </c>
      <c r="C97">
        <f>IF(COUNTIF($B$2:B97, B97)=1, MAX($C$1:C96)+1, VLOOKUP(B97, $B$2:C97, 2, 0))</f>
        <v>12</v>
      </c>
      <c r="D97" s="13" t="s">
        <v>99</v>
      </c>
      <c r="E97" s="14" t="s">
        <v>16</v>
      </c>
      <c r="F97" s="14" t="s">
        <v>172</v>
      </c>
      <c r="G97" s="3"/>
      <c r="I97" s="2"/>
      <c r="J97" s="2"/>
      <c r="K97" s="6"/>
      <c r="L97" s="6"/>
    </row>
    <row r="98" spans="1:12" ht="14.4" x14ac:dyDescent="0.25">
      <c r="A98" s="2" t="str">
        <f t="shared" si="1"/>
        <v>改</v>
      </c>
      <c r="B98" s="2" t="s">
        <v>130</v>
      </c>
      <c r="C98">
        <f>IF(COUNTIF($B$2:B98, B98)=1, MAX($C$1:C97)+1, VLOOKUP(B98, $B$2:C98, 2, 0))</f>
        <v>71</v>
      </c>
      <c r="D98" s="13" t="s">
        <v>99</v>
      </c>
      <c r="E98" s="14" t="s">
        <v>16</v>
      </c>
      <c r="F98" s="14" t="s">
        <v>171</v>
      </c>
      <c r="G98" s="3"/>
      <c r="I98" s="2"/>
      <c r="J98" s="2"/>
      <c r="K98" s="6"/>
      <c r="L98" s="6"/>
    </row>
    <row r="99" spans="1:12" ht="14.4" x14ac:dyDescent="0.25">
      <c r="A99" s="2" t="str">
        <f t="shared" si="1"/>
        <v>改</v>
      </c>
      <c r="B99" s="2" t="s">
        <v>131</v>
      </c>
      <c r="C99">
        <f>IF(COUNTIF($B$2:B99, B99)=1, MAX($C$1:C98)+1, VLOOKUP(B99, $B$2:C99, 2, 0))</f>
        <v>72</v>
      </c>
      <c r="D99" s="13" t="s">
        <v>99</v>
      </c>
      <c r="E99" s="14" t="s">
        <v>16</v>
      </c>
      <c r="F99" s="14" t="s">
        <v>171</v>
      </c>
      <c r="G99" s="3"/>
      <c r="I99" s="2"/>
      <c r="J99" s="2"/>
      <c r="K99" s="6"/>
      <c r="L99" s="6"/>
    </row>
    <row r="100" spans="1:12" ht="14.4" x14ac:dyDescent="0.25">
      <c r="A100" s="2" t="str">
        <f t="shared" si="1"/>
        <v>不改</v>
      </c>
      <c r="B100" s="2" t="s">
        <v>50</v>
      </c>
      <c r="C100">
        <f>IF(COUNTIF($B$2:B100, B100)=1, MAX($C$1:C99)+1, VLOOKUP(B100, $B$2:C100, 2, 0))</f>
        <v>12</v>
      </c>
      <c r="D100" s="13" t="s">
        <v>99</v>
      </c>
      <c r="E100" s="14" t="s">
        <v>16</v>
      </c>
      <c r="F100" s="14" t="s">
        <v>172</v>
      </c>
      <c r="G100" s="3"/>
      <c r="I100" s="2"/>
      <c r="J100" s="2"/>
      <c r="K100" s="6"/>
      <c r="L100" s="6"/>
    </row>
    <row r="101" spans="1:12" ht="14.4" x14ac:dyDescent="0.25">
      <c r="A101" s="2" t="str">
        <f t="shared" si="1"/>
        <v>改</v>
      </c>
      <c r="B101" s="2" t="s">
        <v>132</v>
      </c>
      <c r="C101">
        <f>IF(COUNTIF($B$2:B101, B101)=1, MAX($C$1:C100)+1, VLOOKUP(B101, $B$2:C101, 2, 0))</f>
        <v>73</v>
      </c>
      <c r="D101" s="13" t="s">
        <v>99</v>
      </c>
      <c r="E101" s="14" t="s">
        <v>16</v>
      </c>
      <c r="F101" s="14" t="s">
        <v>171</v>
      </c>
      <c r="G101" s="3"/>
      <c r="I101" s="2"/>
      <c r="J101" s="2"/>
      <c r="K101" s="6"/>
      <c r="L101" s="6"/>
    </row>
    <row r="102" spans="1:12" ht="14.4" x14ac:dyDescent="0.25">
      <c r="A102" s="2" t="str">
        <f t="shared" si="1"/>
        <v>改</v>
      </c>
      <c r="B102" s="2" t="s">
        <v>133</v>
      </c>
      <c r="C102">
        <f>IF(COUNTIF($B$2:B102, B102)=1, MAX($C$1:C101)+1, VLOOKUP(B102, $B$2:C102, 2, 0))</f>
        <v>74</v>
      </c>
      <c r="D102" s="13" t="s">
        <v>99</v>
      </c>
      <c r="E102" s="14" t="s">
        <v>16</v>
      </c>
      <c r="F102" s="14" t="s">
        <v>171</v>
      </c>
      <c r="G102" s="3"/>
      <c r="I102" s="2"/>
      <c r="J102" s="2"/>
      <c r="K102" s="6"/>
      <c r="L102" s="6"/>
    </row>
    <row r="103" spans="1:12" ht="14.4" x14ac:dyDescent="0.25">
      <c r="A103" s="2" t="str">
        <f t="shared" si="1"/>
        <v>改</v>
      </c>
      <c r="B103" s="2" t="s">
        <v>134</v>
      </c>
      <c r="C103">
        <f>IF(COUNTIF($B$2:B103, B103)=1, MAX($C$1:C102)+1, VLOOKUP(B103, $B$2:C103, 2, 0))</f>
        <v>75</v>
      </c>
      <c r="D103" s="13" t="s">
        <v>99</v>
      </c>
      <c r="E103" s="14" t="s">
        <v>16</v>
      </c>
      <c r="F103" s="14" t="s">
        <v>171</v>
      </c>
      <c r="G103" s="3"/>
      <c r="I103" s="2"/>
      <c r="J103" s="2"/>
      <c r="K103" s="6"/>
      <c r="L103" s="6"/>
    </row>
    <row r="104" spans="1:12" ht="14.4" x14ac:dyDescent="0.25">
      <c r="A104" s="2" t="str">
        <f t="shared" si="1"/>
        <v>改</v>
      </c>
      <c r="B104" s="2" t="s">
        <v>136</v>
      </c>
      <c r="C104">
        <f>IF(COUNTIF($B$2:B104, B104)=1, MAX($C$1:C103)+1, VLOOKUP(B104, $B$2:C104, 2, 0))</f>
        <v>76</v>
      </c>
      <c r="D104" s="13" t="s">
        <v>99</v>
      </c>
      <c r="E104" s="14" t="s">
        <v>16</v>
      </c>
      <c r="F104" s="14" t="s">
        <v>171</v>
      </c>
      <c r="G104" s="3"/>
      <c r="I104" s="2"/>
      <c r="J104" s="2"/>
      <c r="K104" s="6"/>
      <c r="L104" s="6"/>
    </row>
    <row r="105" spans="1:12" ht="14.4" x14ac:dyDescent="0.25">
      <c r="A105" s="2" t="str">
        <f t="shared" si="1"/>
        <v>改</v>
      </c>
      <c r="B105" s="2" t="s">
        <v>137</v>
      </c>
      <c r="C105">
        <f>IF(COUNTIF($B$2:B105, B105)=1, MAX($C$1:C104)+1, VLOOKUP(B105, $B$2:C105, 2, 0))</f>
        <v>77</v>
      </c>
      <c r="D105" s="13" t="s">
        <v>135</v>
      </c>
      <c r="E105" s="14" t="s">
        <v>25</v>
      </c>
      <c r="F105" s="14" t="s">
        <v>171</v>
      </c>
      <c r="G105" s="3"/>
      <c r="I105" s="2"/>
      <c r="J105" s="2"/>
      <c r="K105" s="6"/>
      <c r="L105" s="6"/>
    </row>
    <row r="106" spans="1:12" ht="14.4" x14ac:dyDescent="0.25">
      <c r="A106" s="2" t="str">
        <f t="shared" si="1"/>
        <v>改</v>
      </c>
      <c r="B106" s="2" t="s">
        <v>138</v>
      </c>
      <c r="C106">
        <f>IF(COUNTIF($B$2:B106, B106)=1, MAX($C$1:C105)+1, VLOOKUP(B106, $B$2:C106, 2, 0))</f>
        <v>78</v>
      </c>
      <c r="D106" s="13" t="s">
        <v>144</v>
      </c>
      <c r="E106" s="14" t="s">
        <v>25</v>
      </c>
      <c r="F106" s="14" t="s">
        <v>171</v>
      </c>
      <c r="G106" s="3"/>
      <c r="I106" s="2"/>
      <c r="J106" s="2"/>
      <c r="K106" s="6"/>
      <c r="L106" s="6"/>
    </row>
    <row r="107" spans="1:12" ht="14.4" x14ac:dyDescent="0.25">
      <c r="A107" s="2" t="str">
        <f t="shared" si="1"/>
        <v>改</v>
      </c>
      <c r="B107" s="2" t="s">
        <v>139</v>
      </c>
      <c r="C107">
        <f>IF(COUNTIF($B$2:B107, B107)=1, MAX($C$1:C106)+1, VLOOKUP(B107, $B$2:C107, 2, 0))</f>
        <v>79</v>
      </c>
      <c r="D107" s="13" t="s">
        <v>144</v>
      </c>
      <c r="E107" s="14" t="s">
        <v>25</v>
      </c>
      <c r="F107" s="14" t="s">
        <v>171</v>
      </c>
      <c r="G107" s="3"/>
      <c r="I107" s="2"/>
      <c r="J107" s="2"/>
      <c r="K107" s="2"/>
      <c r="L107" s="6"/>
    </row>
    <row r="108" spans="1:12" ht="14.4" x14ac:dyDescent="0.25">
      <c r="A108" s="2" t="str">
        <f t="shared" si="1"/>
        <v>改</v>
      </c>
      <c r="B108" s="2" t="s">
        <v>140</v>
      </c>
      <c r="C108">
        <f>IF(COUNTIF($B$2:B108, B108)=1, MAX($C$1:C107)+1, VLOOKUP(B108, $B$2:C108, 2, 0))</f>
        <v>80</v>
      </c>
      <c r="D108" s="13" t="s">
        <v>144</v>
      </c>
      <c r="E108" s="14" t="s">
        <v>25</v>
      </c>
      <c r="F108" s="14" t="s">
        <v>171</v>
      </c>
      <c r="G108" s="3"/>
      <c r="I108" s="2"/>
      <c r="J108" s="2"/>
      <c r="K108" s="2"/>
      <c r="L108" s="6"/>
    </row>
    <row r="109" spans="1:12" ht="14.4" x14ac:dyDescent="0.25">
      <c r="A109" s="2" t="str">
        <f t="shared" si="1"/>
        <v>改</v>
      </c>
      <c r="B109" s="2" t="s">
        <v>141</v>
      </c>
      <c r="C109">
        <f>IF(COUNTIF($B$2:B109, B109)=1, MAX($C$1:C108)+1, VLOOKUP(B109, $B$2:C109, 2, 0))</f>
        <v>81</v>
      </c>
      <c r="D109" s="13" t="s">
        <v>144</v>
      </c>
      <c r="E109" s="14" t="s">
        <v>25</v>
      </c>
      <c r="F109" s="14" t="s">
        <v>171</v>
      </c>
      <c r="G109" s="3"/>
      <c r="I109" s="2"/>
      <c r="J109" s="2"/>
      <c r="K109" s="2"/>
      <c r="L109" s="6"/>
    </row>
    <row r="110" spans="1:12" ht="14.4" x14ac:dyDescent="0.25">
      <c r="A110" s="2" t="str">
        <f t="shared" si="1"/>
        <v>改</v>
      </c>
      <c r="B110" s="2" t="s">
        <v>142</v>
      </c>
      <c r="C110">
        <f>IF(COUNTIF($B$2:B110, B110)=1, MAX($C$1:C109)+1, VLOOKUP(B110, $B$2:C110, 2, 0))</f>
        <v>82</v>
      </c>
      <c r="D110" s="13" t="s">
        <v>144</v>
      </c>
      <c r="E110" s="14" t="s">
        <v>25</v>
      </c>
      <c r="F110" s="14" t="s">
        <v>171</v>
      </c>
      <c r="G110" s="3"/>
      <c r="I110" s="2"/>
      <c r="J110" s="2"/>
      <c r="K110" s="2"/>
      <c r="L110" s="6"/>
    </row>
    <row r="111" spans="1:12" ht="14.4" x14ac:dyDescent="0.25">
      <c r="A111" s="2" t="str">
        <f t="shared" si="1"/>
        <v>改</v>
      </c>
      <c r="B111" s="2" t="s">
        <v>111</v>
      </c>
      <c r="C111">
        <f>IF(COUNTIF($B$2:B111, B111)=1, MAX($C$1:C110)+1, VLOOKUP(B111, $B$2:C111, 2, 0))</f>
        <v>57</v>
      </c>
      <c r="D111" s="13" t="s">
        <v>144</v>
      </c>
      <c r="E111" s="14" t="s">
        <v>25</v>
      </c>
      <c r="F111" s="14" t="s">
        <v>172</v>
      </c>
      <c r="G111" s="3"/>
      <c r="I111" s="2"/>
      <c r="J111" s="2"/>
      <c r="K111" s="2"/>
      <c r="L111" s="6"/>
    </row>
    <row r="112" spans="1:12" ht="14.4" x14ac:dyDescent="0.25">
      <c r="A112" s="2" t="str">
        <f t="shared" si="1"/>
        <v>改</v>
      </c>
      <c r="B112" s="2" t="s">
        <v>143</v>
      </c>
      <c r="C112">
        <f>IF(COUNTIF($B$2:B112, B112)=1, MAX($C$1:C111)+1, VLOOKUP(B112, $B$2:C112, 2, 0))</f>
        <v>83</v>
      </c>
      <c r="D112" s="13" t="s">
        <v>144</v>
      </c>
      <c r="E112" s="14" t="s">
        <v>25</v>
      </c>
      <c r="F112" s="14" t="s">
        <v>171</v>
      </c>
      <c r="G112" s="3"/>
      <c r="I112" s="2"/>
      <c r="J112" s="2"/>
      <c r="K112" s="2"/>
      <c r="L112" s="6"/>
    </row>
    <row r="113" spans="1:12" ht="14.4" x14ac:dyDescent="0.25">
      <c r="A113" s="2" t="str">
        <f t="shared" si="1"/>
        <v>改</v>
      </c>
      <c r="B113" s="2" t="s">
        <v>145</v>
      </c>
      <c r="C113">
        <f>IF(COUNTIF($B$2:B113, B113)=1, MAX($C$1:C112)+1, VLOOKUP(B113, $B$2:C113, 2, 0))</f>
        <v>84</v>
      </c>
      <c r="D113" s="13" t="s">
        <v>144</v>
      </c>
      <c r="E113" s="14" t="s">
        <v>25</v>
      </c>
      <c r="F113" s="14" t="s">
        <v>171</v>
      </c>
      <c r="G113" s="3"/>
      <c r="I113" s="2"/>
      <c r="J113" s="2"/>
      <c r="K113" s="2"/>
      <c r="L113" s="6"/>
    </row>
    <row r="114" spans="1:12" ht="14.4" x14ac:dyDescent="0.25">
      <c r="A114" s="2" t="str">
        <f t="shared" si="1"/>
        <v>改</v>
      </c>
      <c r="B114" s="2" t="s">
        <v>146</v>
      </c>
      <c r="C114">
        <f>IF(COUNTIF($B$2:B114, B114)=1, MAX($C$1:C113)+1, VLOOKUP(B114, $B$2:C114, 2, 0))</f>
        <v>85</v>
      </c>
      <c r="D114" s="13" t="s">
        <v>144</v>
      </c>
      <c r="E114" s="14" t="s">
        <v>25</v>
      </c>
      <c r="F114" s="14" t="s">
        <v>171</v>
      </c>
      <c r="G114" s="3"/>
      <c r="I114" s="2"/>
      <c r="J114" s="2"/>
      <c r="K114" s="2"/>
      <c r="L114" s="6"/>
    </row>
    <row r="115" spans="1:12" ht="14.4" x14ac:dyDescent="0.25">
      <c r="A115" s="2" t="str">
        <f t="shared" si="1"/>
        <v>改</v>
      </c>
      <c r="B115" s="2" t="s">
        <v>147</v>
      </c>
      <c r="C115">
        <f>IF(COUNTIF($B$2:B115, B115)=1, MAX($C$1:C114)+1, VLOOKUP(B115, $B$2:C115, 2, 0))</f>
        <v>86</v>
      </c>
      <c r="D115" s="13" t="s">
        <v>144</v>
      </c>
      <c r="E115" s="14" t="s">
        <v>25</v>
      </c>
      <c r="F115" s="14" t="s">
        <v>171</v>
      </c>
      <c r="G115" s="3"/>
      <c r="I115" s="2"/>
      <c r="J115" s="2"/>
      <c r="K115" s="2"/>
      <c r="L115" s="6"/>
    </row>
    <row r="116" spans="1:12" ht="14.4" x14ac:dyDescent="0.25">
      <c r="A116" s="2" t="str">
        <f t="shared" si="1"/>
        <v>改</v>
      </c>
      <c r="B116" s="2" t="s">
        <v>148</v>
      </c>
      <c r="C116">
        <f>IF(COUNTIF($B$2:B116, B116)=1, MAX($C$1:C115)+1, VLOOKUP(B116, $B$2:C116, 2, 0))</f>
        <v>87</v>
      </c>
      <c r="D116" s="13" t="s">
        <v>144</v>
      </c>
      <c r="E116" s="14" t="s">
        <v>25</v>
      </c>
      <c r="F116" s="14" t="s">
        <v>171</v>
      </c>
      <c r="G116" s="3"/>
      <c r="I116" s="2"/>
      <c r="J116" s="2"/>
      <c r="K116" s="2"/>
      <c r="L116" s="6"/>
    </row>
    <row r="117" spans="1:12" ht="14.4" x14ac:dyDescent="0.25">
      <c r="A117" s="2" t="str">
        <f t="shared" si="1"/>
        <v>改</v>
      </c>
      <c r="B117" s="2" t="s">
        <v>149</v>
      </c>
      <c r="C117">
        <f>IF(COUNTIF($B$2:B117, B117)=1, MAX($C$1:C116)+1, VLOOKUP(B117, $B$2:C117, 2, 0))</f>
        <v>88</v>
      </c>
      <c r="D117" s="13" t="s">
        <v>144</v>
      </c>
      <c r="E117" s="14" t="s">
        <v>25</v>
      </c>
      <c r="F117" s="14" t="s">
        <v>171</v>
      </c>
      <c r="G117" s="3"/>
      <c r="I117" s="2"/>
      <c r="J117" s="2"/>
      <c r="K117" s="2"/>
      <c r="L117" s="6"/>
    </row>
    <row r="118" spans="1:12" ht="14.4" x14ac:dyDescent="0.25">
      <c r="A118" s="2" t="str">
        <f t="shared" si="1"/>
        <v>改</v>
      </c>
      <c r="B118" s="2" t="s">
        <v>150</v>
      </c>
      <c r="C118">
        <f>IF(COUNTIF($B$2:B118, B118)=1, MAX($C$1:C117)+1, VLOOKUP(B118, $B$2:C118, 2, 0))</f>
        <v>89</v>
      </c>
      <c r="D118" s="13" t="s">
        <v>144</v>
      </c>
      <c r="E118" s="14" t="s">
        <v>25</v>
      </c>
      <c r="F118" s="14" t="s">
        <v>171</v>
      </c>
      <c r="G118" s="3"/>
      <c r="I118" s="2"/>
      <c r="J118" s="2"/>
      <c r="K118" s="2"/>
      <c r="L118" s="6"/>
    </row>
    <row r="119" spans="1:12" ht="14.4" x14ac:dyDescent="0.25">
      <c r="A119" s="2" t="str">
        <f t="shared" si="1"/>
        <v>改</v>
      </c>
      <c r="B119" s="2" t="s">
        <v>151</v>
      </c>
      <c r="C119">
        <f>IF(COUNTIF($B$2:B119, B119)=1, MAX($C$1:C118)+1, VLOOKUP(B119, $B$2:C119, 2, 0))</f>
        <v>90</v>
      </c>
      <c r="D119" s="13" t="s">
        <v>113</v>
      </c>
      <c r="E119" s="14" t="s">
        <v>17</v>
      </c>
      <c r="F119" s="14" t="s">
        <v>171</v>
      </c>
      <c r="G119" s="3"/>
      <c r="I119" s="2"/>
      <c r="J119" s="2"/>
      <c r="K119" s="2"/>
      <c r="L119" s="6"/>
    </row>
    <row r="120" spans="1:12" ht="14.4" x14ac:dyDescent="0.25">
      <c r="A120" s="2" t="str">
        <f t="shared" si="1"/>
        <v>改</v>
      </c>
      <c r="B120" s="2" t="s">
        <v>152</v>
      </c>
      <c r="C120">
        <f>IF(COUNTIF($B$2:B120, B120)=1, MAX($C$1:C119)+1, VLOOKUP(B120, $B$2:C120, 2, 0))</f>
        <v>91</v>
      </c>
      <c r="D120" s="13" t="s">
        <v>115</v>
      </c>
      <c r="E120" s="14" t="s">
        <v>18</v>
      </c>
      <c r="F120" s="14" t="s">
        <v>171</v>
      </c>
      <c r="G120" s="3"/>
      <c r="I120" s="2"/>
      <c r="J120" s="2"/>
      <c r="K120" s="2"/>
      <c r="L120" s="6"/>
    </row>
    <row r="121" spans="1:12" ht="14.4" x14ac:dyDescent="0.25">
      <c r="A121" s="2" t="str">
        <f t="shared" si="1"/>
        <v>改</v>
      </c>
      <c r="B121" s="2" t="s">
        <v>153</v>
      </c>
      <c r="C121">
        <f>IF(COUNTIF($B$2:B121, B121)=1, MAX($C$1:C120)+1, VLOOKUP(B121, $B$2:C121, 2, 0))</f>
        <v>92</v>
      </c>
      <c r="D121" s="13" t="s">
        <v>115</v>
      </c>
      <c r="E121" s="14" t="s">
        <v>18</v>
      </c>
      <c r="F121" s="14" t="s">
        <v>171</v>
      </c>
      <c r="G121" s="3"/>
      <c r="I121" s="2"/>
      <c r="J121" s="2"/>
      <c r="K121" s="2"/>
      <c r="L121" s="6"/>
    </row>
    <row r="122" spans="1:12" ht="14.4" x14ac:dyDescent="0.25">
      <c r="A122" s="2" t="str">
        <f t="shared" si="1"/>
        <v>改</v>
      </c>
      <c r="B122" s="2" t="s">
        <v>154</v>
      </c>
      <c r="C122">
        <f>IF(COUNTIF($B$2:B122, B122)=1, MAX($C$1:C121)+1, VLOOKUP(B122, $B$2:C122, 2, 0))</f>
        <v>93</v>
      </c>
      <c r="D122" s="13" t="s">
        <v>115</v>
      </c>
      <c r="E122" s="14" t="s">
        <v>19</v>
      </c>
      <c r="F122" s="14" t="s">
        <v>171</v>
      </c>
      <c r="G122" s="3"/>
      <c r="I122" s="2"/>
      <c r="J122" s="2"/>
      <c r="K122" s="2"/>
      <c r="L122" s="6"/>
    </row>
    <row r="123" spans="1:12" ht="14.4" x14ac:dyDescent="0.25">
      <c r="A123" s="2" t="str">
        <f t="shared" si="1"/>
        <v>改</v>
      </c>
      <c r="B123" s="2" t="s">
        <v>155</v>
      </c>
      <c r="C123">
        <f>IF(COUNTIF($B$2:B123, B123)=1, MAX($C$1:C122)+1, VLOOKUP(B123, $B$2:C123, 2, 0))</f>
        <v>94</v>
      </c>
      <c r="D123" s="13" t="s">
        <v>115</v>
      </c>
      <c r="E123" s="14" t="s">
        <v>19</v>
      </c>
      <c r="F123" s="14" t="s">
        <v>171</v>
      </c>
      <c r="G123" s="3"/>
      <c r="I123" s="2"/>
      <c r="J123" s="2"/>
      <c r="K123" s="2"/>
      <c r="L123" s="6"/>
    </row>
    <row r="124" spans="1:12" ht="14.4" x14ac:dyDescent="0.25">
      <c r="A124" s="2" t="str">
        <f t="shared" si="1"/>
        <v>改</v>
      </c>
      <c r="B124" s="2" t="s">
        <v>156</v>
      </c>
      <c r="C124">
        <f>IF(COUNTIF($B$2:B124, B124)=1, MAX($C$1:C123)+1, VLOOKUP(B124, $B$2:C124, 2, 0))</f>
        <v>95</v>
      </c>
      <c r="D124" s="13" t="s">
        <v>120</v>
      </c>
      <c r="E124" s="14" t="s">
        <v>20</v>
      </c>
      <c r="F124" s="14" t="s">
        <v>171</v>
      </c>
      <c r="G124" s="3"/>
      <c r="I124" s="2"/>
      <c r="J124" s="2"/>
      <c r="K124" s="2"/>
      <c r="L124" s="6"/>
    </row>
    <row r="125" spans="1:12" ht="14.4" x14ac:dyDescent="0.25">
      <c r="A125" s="2" t="str">
        <f t="shared" si="1"/>
        <v>改</v>
      </c>
      <c r="B125" s="2" t="s">
        <v>73</v>
      </c>
      <c r="C125">
        <f>IF(COUNTIF($B$2:B125, B125)=1, MAX($C$1:C124)+1, VLOOKUP(B125, $B$2:C125, 2, 0))</f>
        <v>25</v>
      </c>
      <c r="D125" s="13" t="s">
        <v>120</v>
      </c>
      <c r="E125" s="14" t="s">
        <v>20</v>
      </c>
      <c r="F125" s="14" t="s">
        <v>172</v>
      </c>
      <c r="G125" s="3"/>
      <c r="I125" s="2"/>
      <c r="J125" s="2"/>
      <c r="K125" s="6"/>
      <c r="L125" s="6"/>
    </row>
    <row r="126" spans="1:12" ht="14.4" x14ac:dyDescent="0.25">
      <c r="A126" s="2" t="str">
        <f t="shared" si="1"/>
        <v>改</v>
      </c>
      <c r="B126" s="2" t="s">
        <v>158</v>
      </c>
      <c r="C126">
        <f>IF(COUNTIF($B$2:B126, B126)=1, MAX($C$1:C125)+1, VLOOKUP(B126, $B$2:C126, 2, 0))</f>
        <v>96</v>
      </c>
      <c r="D126" s="13" t="s">
        <v>120</v>
      </c>
      <c r="E126" s="14" t="s">
        <v>20</v>
      </c>
      <c r="F126" s="14" t="s">
        <v>171</v>
      </c>
      <c r="G126" s="3"/>
      <c r="I126" s="2"/>
      <c r="J126" s="2"/>
      <c r="K126" s="2"/>
      <c r="L126" s="6"/>
    </row>
    <row r="127" spans="1:12" ht="14.4" x14ac:dyDescent="0.25">
      <c r="A127" s="2" t="str">
        <f t="shared" si="1"/>
        <v>改</v>
      </c>
      <c r="B127" s="2" t="s">
        <v>159</v>
      </c>
      <c r="C127">
        <f>IF(COUNTIF($B$2:B127, B127)=1, MAX($C$1:C126)+1, VLOOKUP(B127, $B$2:C127, 2, 0))</f>
        <v>97</v>
      </c>
      <c r="D127" s="13" t="s">
        <v>120</v>
      </c>
      <c r="E127" s="14" t="s">
        <v>20</v>
      </c>
      <c r="F127" s="14" t="s">
        <v>171</v>
      </c>
      <c r="G127" s="3"/>
      <c r="I127" s="2"/>
      <c r="J127" s="2"/>
      <c r="K127" s="2"/>
      <c r="L127" s="6"/>
    </row>
    <row r="128" spans="1:12" ht="14.4" x14ac:dyDescent="0.25">
      <c r="A128" s="2" t="str">
        <f t="shared" si="1"/>
        <v>改</v>
      </c>
      <c r="B128" s="2" t="s">
        <v>160</v>
      </c>
      <c r="C128">
        <f>IF(COUNTIF($B$2:B128, B128)=1, MAX($C$1:C127)+1, VLOOKUP(B128, $B$2:C128, 2, 0))</f>
        <v>98</v>
      </c>
      <c r="D128" s="13" t="s">
        <v>157</v>
      </c>
      <c r="E128" s="14" t="s">
        <v>27</v>
      </c>
      <c r="F128" s="14" t="s">
        <v>171</v>
      </c>
      <c r="G128" s="3"/>
      <c r="I128" s="2"/>
      <c r="J128" s="2"/>
      <c r="K128" s="2"/>
      <c r="L128" s="6"/>
    </row>
    <row r="129" spans="1:12" ht="27.6" x14ac:dyDescent="0.25">
      <c r="A129" s="2" t="str">
        <f t="shared" si="1"/>
        <v>改</v>
      </c>
      <c r="B129" s="2" t="s">
        <v>161</v>
      </c>
      <c r="C129">
        <f>IF(COUNTIF($B$2:B129, B129)=1, MAX($C$1:C128)+1, VLOOKUP(B129, $B$2:C129, 2, 0))</f>
        <v>99</v>
      </c>
      <c r="D129" s="13" t="s">
        <v>157</v>
      </c>
      <c r="E129" s="14" t="s">
        <v>27</v>
      </c>
      <c r="F129" s="14" t="s">
        <v>171</v>
      </c>
      <c r="G129" s="3"/>
      <c r="I129" s="2"/>
      <c r="J129" s="2"/>
      <c r="K129" s="6"/>
      <c r="L129" s="6"/>
    </row>
    <row r="130" spans="1:12" ht="27.6" x14ac:dyDescent="0.25">
      <c r="A130" s="2" t="str">
        <f t="shared" si="1"/>
        <v>改</v>
      </c>
      <c r="B130" s="2" t="s">
        <v>163</v>
      </c>
      <c r="C130">
        <f>IF(COUNTIF($B$2:B130, B130)=1, MAX($C$1:C129)+1, VLOOKUP(B130, $B$2:C130, 2, 0))</f>
        <v>100</v>
      </c>
      <c r="D130" s="13" t="s">
        <v>157</v>
      </c>
      <c r="E130" s="14" t="s">
        <v>27</v>
      </c>
      <c r="F130" s="14" t="s">
        <v>171</v>
      </c>
      <c r="G130" s="3"/>
      <c r="I130" s="2"/>
      <c r="J130" s="2"/>
      <c r="K130" s="6"/>
      <c r="L130" s="6"/>
    </row>
    <row r="131" spans="1:12" ht="27.6" x14ac:dyDescent="0.25">
      <c r="A131" s="2" t="str">
        <f t="shared" ref="A131:A133" si="2">IF(VALUE(C131)=VALUE(MID(B131,2,LEN(B131)-2)), "不改", "改")</f>
        <v>改</v>
      </c>
      <c r="B131" s="2" t="s">
        <v>165</v>
      </c>
      <c r="C131">
        <f>IF(COUNTIF($B$2:B131, B131)=1, MAX($C$1:C130)+1, VLOOKUP(B131, $B$2:C131, 2, 0))</f>
        <v>101</v>
      </c>
      <c r="D131" s="13" t="s">
        <v>162</v>
      </c>
      <c r="E131" s="14" t="s">
        <v>28</v>
      </c>
      <c r="F131" s="14" t="s">
        <v>171</v>
      </c>
      <c r="G131" s="3"/>
      <c r="I131" s="2"/>
      <c r="J131" s="2"/>
      <c r="K131" s="6"/>
      <c r="L131" s="6"/>
    </row>
    <row r="132" spans="1:12" ht="14.4" x14ac:dyDescent="0.25">
      <c r="A132" s="2" t="str">
        <f t="shared" si="2"/>
        <v>改</v>
      </c>
      <c r="B132" s="2" t="s">
        <v>125</v>
      </c>
      <c r="C132">
        <f>IF(COUNTIF($B$2:B132, B132)=1, MAX($C$1:C131)+1, VLOOKUP(B132, $B$2:C132, 2, 0))</f>
        <v>67</v>
      </c>
      <c r="D132" s="13" t="s">
        <v>164</v>
      </c>
      <c r="E132" s="14" t="s">
        <v>28</v>
      </c>
      <c r="F132" s="14" t="s">
        <v>172</v>
      </c>
      <c r="G132" s="3"/>
      <c r="I132" s="2"/>
      <c r="J132" s="2"/>
      <c r="K132" s="6"/>
      <c r="L132" s="6"/>
    </row>
    <row r="133" spans="1:12" ht="15" thickBot="1" x14ac:dyDescent="0.3">
      <c r="A133" s="2" t="str">
        <f t="shared" si="2"/>
        <v>改</v>
      </c>
      <c r="B133" s="4" t="s">
        <v>44</v>
      </c>
      <c r="C133">
        <f>IF(COUNTIF($B$2:B133, B133)=1, MAX($C$1:C132)+1, VLOOKUP(B133, $B$2:C133, 2, 0))</f>
        <v>10</v>
      </c>
      <c r="D133" s="15" t="s">
        <v>164</v>
      </c>
      <c r="E133" s="16" t="s">
        <v>28</v>
      </c>
      <c r="F133" s="16" t="s">
        <v>172</v>
      </c>
      <c r="G133" s="5"/>
      <c r="I133" s="4"/>
      <c r="J133" s="4"/>
      <c r="K133" s="7"/>
      <c r="L133" s="7"/>
    </row>
  </sheetData>
  <phoneticPr fontId="4" type="noConversion"/>
  <conditionalFormatting sqref="A1:G133">
    <cfRule type="expression" dxfId="1" priority="16">
      <formula>$G1048446="改"</formula>
    </cfRule>
    <cfRule type="cellIs" dxfId="0" priority="17" operator="equal">
      <formula>"改"</formula>
    </cfRule>
  </conditionalFormatting>
  <conditionalFormatting sqref="K70">
    <cfRule type="expression" dxfId="6" priority="22">
      <formula>$A2="改"</formula>
    </cfRule>
  </conditionalFormatting>
  <conditionalFormatting sqref="M16:N16 M12:P12">
    <cfRule type="expression" dxfId="5" priority="23">
      <formula>$A1048457="改"</formula>
    </cfRule>
    <cfRule type="cellIs" dxfId="4" priority="24" operator="equal">
      <formula>"改"</formula>
    </cfRule>
  </conditionalFormatting>
  <conditionalFormatting sqref="H1">
    <cfRule type="expression" dxfId="3" priority="1">
      <formula>$G1048446="改"</formula>
    </cfRule>
    <cfRule type="cellIs" dxfId="2" priority="2" operator="equal">
      <formula>"改"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刘璇</dc:creator>
  <cp:lastModifiedBy>97505</cp:lastModifiedBy>
  <dcterms:created xsi:type="dcterms:W3CDTF">2015-06-05T18:19:34Z</dcterms:created>
  <dcterms:modified xsi:type="dcterms:W3CDTF">2026-09-02T07:38:18Z</dcterms:modified>
</cp:coreProperties>
</file>